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Original" sheetId="1" r:id="rId1"/>
    <sheet name="base" sheetId="3" r:id="rId2"/>
    <sheet name="base (3)" sheetId="7" r:id="rId3"/>
    <sheet name="Original (2)" sheetId="5" r:id="rId4"/>
    <sheet name="base (2)" sheetId="4" r:id="rId5"/>
    <sheet name="Planilha1 (2)" sheetId="2" r:id="rId6"/>
  </sheets>
  <definedNames>
    <definedName name="_xlnm._FilterDatabase" localSheetId="1" hidden="1">base!$A$1:$J$139</definedName>
    <definedName name="_xlnm._FilterDatabase" localSheetId="2" hidden="1">'base (3)'!$A$1:$J$18</definedName>
    <definedName name="_xlnm._FilterDatabase" localSheetId="0" hidden="1">Original!$A$1:$BP$502</definedName>
    <definedName name="_xlnm._FilterDatabase" localSheetId="3" hidden="1">'Original (2)'!$A$1:$AW$502</definedName>
    <definedName name="_xlnm._FilterDatabase" localSheetId="5" hidden="1">'Planilha1 (2)'!$A$1:$D$501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" i="1" l="1"/>
  <c r="E1" i="7"/>
  <c r="D1" i="7"/>
  <c r="C1" i="7"/>
  <c r="B1" i="7"/>
  <c r="A1" i="7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BO286" i="1" l="1"/>
  <c r="BP286" i="1" s="1"/>
  <c r="BO222" i="1"/>
  <c r="BP222" i="1" s="1"/>
  <c r="BO501" i="1"/>
  <c r="BP501" i="1" s="1"/>
  <c r="BO500" i="1"/>
  <c r="BP500" i="1" s="1"/>
  <c r="BO499" i="1"/>
  <c r="BP499" i="1" s="1"/>
  <c r="BO498" i="1"/>
  <c r="BO497" i="1"/>
  <c r="BP497" i="1" s="1"/>
  <c r="BO496" i="1"/>
  <c r="BO495" i="1"/>
  <c r="BP495" i="1" s="1"/>
  <c r="BO494" i="1"/>
  <c r="BP494" i="1" s="1"/>
  <c r="BO493" i="1"/>
  <c r="BP493" i="1" s="1"/>
  <c r="BO492" i="1"/>
  <c r="BP492" i="1" s="1"/>
  <c r="BO491" i="1"/>
  <c r="BO490" i="1"/>
  <c r="BP490" i="1" s="1"/>
  <c r="BO489" i="1"/>
  <c r="BP489" i="1" s="1"/>
  <c r="BO488" i="1"/>
  <c r="BP488" i="1" s="1"/>
  <c r="BO487" i="1"/>
  <c r="BP487" i="1" s="1"/>
  <c r="BO486" i="1"/>
  <c r="BP486" i="1" s="1"/>
  <c r="BO485" i="1"/>
  <c r="BP485" i="1" s="1"/>
  <c r="BO484" i="1"/>
  <c r="BO483" i="1"/>
  <c r="BP483" i="1" s="1"/>
  <c r="BO482" i="1"/>
  <c r="BP482" i="1" s="1"/>
  <c r="BO481" i="1"/>
  <c r="BP481" i="1" s="1"/>
  <c r="BO480" i="1"/>
  <c r="BP480" i="1" s="1"/>
  <c r="BO479" i="1"/>
  <c r="BP479" i="1" s="1"/>
  <c r="BO478" i="1"/>
  <c r="BP478" i="1" s="1"/>
  <c r="BO477" i="1"/>
  <c r="BP477" i="1" s="1"/>
  <c r="BO476" i="1"/>
  <c r="BP476" i="1" s="1"/>
  <c r="BO475" i="1"/>
  <c r="BP475" i="1" s="1"/>
  <c r="BO474" i="1"/>
  <c r="BP474" i="1" s="1"/>
  <c r="BO473" i="1"/>
  <c r="BP473" i="1" s="1"/>
  <c r="BO472" i="1"/>
  <c r="BP472" i="1" s="1"/>
  <c r="BO471" i="1"/>
  <c r="BP471" i="1" s="1"/>
  <c r="BO470" i="1"/>
  <c r="BP470" i="1" s="1"/>
  <c r="BO469" i="1"/>
  <c r="BP469" i="1" s="1"/>
  <c r="BO468" i="1"/>
  <c r="BO467" i="1"/>
  <c r="BP467" i="1" s="1"/>
  <c r="BO466" i="1"/>
  <c r="BP466" i="1" s="1"/>
  <c r="BO465" i="1"/>
  <c r="BP465" i="1" s="1"/>
  <c r="BO464" i="1"/>
  <c r="BP464" i="1" s="1"/>
  <c r="BO463" i="1"/>
  <c r="BP463" i="1" s="1"/>
  <c r="BO462" i="1"/>
  <c r="BP462" i="1" s="1"/>
  <c r="BO461" i="1"/>
  <c r="BP461" i="1" s="1"/>
  <c r="BO460" i="1"/>
  <c r="BP460" i="1" s="1"/>
  <c r="BO459" i="1"/>
  <c r="BP459" i="1" s="1"/>
  <c r="BO458" i="1"/>
  <c r="BP458" i="1" s="1"/>
  <c r="BO457" i="1"/>
  <c r="BO456" i="1"/>
  <c r="BP456" i="1" s="1"/>
  <c r="BO455" i="1"/>
  <c r="BP455" i="1" s="1"/>
  <c r="BO454" i="1"/>
  <c r="BP454" i="1" s="1"/>
  <c r="BO453" i="1"/>
  <c r="BP453" i="1" s="1"/>
  <c r="BO452" i="1"/>
  <c r="BP452" i="1" s="1"/>
  <c r="BO451" i="1"/>
  <c r="BP451" i="1" s="1"/>
  <c r="BO450" i="1"/>
  <c r="BP450" i="1" s="1"/>
  <c r="BO449" i="1"/>
  <c r="BP449" i="1" s="1"/>
  <c r="BO448" i="1"/>
  <c r="BP448" i="1" s="1"/>
  <c r="BO447" i="1"/>
  <c r="BP447" i="1" s="1"/>
  <c r="BO446" i="1"/>
  <c r="BP446" i="1" s="1"/>
  <c r="BO445" i="1"/>
  <c r="BO444" i="1"/>
  <c r="BP444" i="1" s="1"/>
  <c r="BO443" i="1"/>
  <c r="BP443" i="1" s="1"/>
  <c r="BO442" i="1"/>
  <c r="BP442" i="1" s="1"/>
  <c r="BO441" i="1"/>
  <c r="BP441" i="1" s="1"/>
  <c r="BO440" i="1"/>
  <c r="BP440" i="1" s="1"/>
  <c r="BO439" i="1"/>
  <c r="BP439" i="1" s="1"/>
  <c r="BO438" i="1"/>
  <c r="BP438" i="1" s="1"/>
  <c r="BO437" i="1"/>
  <c r="BP437" i="1" s="1"/>
  <c r="BO436" i="1"/>
  <c r="BP436" i="1" s="1"/>
  <c r="BO435" i="1"/>
  <c r="BP435" i="1" s="1"/>
  <c r="BO434" i="1"/>
  <c r="BP434" i="1" s="1"/>
  <c r="BO433" i="1"/>
  <c r="BP433" i="1" s="1"/>
  <c r="BO432" i="1"/>
  <c r="BP432" i="1" s="1"/>
  <c r="BO431" i="1"/>
  <c r="BP431" i="1" s="1"/>
  <c r="BO430" i="1"/>
  <c r="BP430" i="1" s="1"/>
  <c r="BO429" i="1"/>
  <c r="BO428" i="1"/>
  <c r="BP428" i="1" s="1"/>
  <c r="BO427" i="1"/>
  <c r="BP427" i="1" s="1"/>
  <c r="BO426" i="1"/>
  <c r="BP426" i="1" s="1"/>
  <c r="BO425" i="1"/>
  <c r="BP425" i="1" s="1"/>
  <c r="BO424" i="1"/>
  <c r="BO423" i="1"/>
  <c r="BP423" i="1" s="1"/>
  <c r="BO422" i="1"/>
  <c r="BP422" i="1" s="1"/>
  <c r="BO421" i="1"/>
  <c r="BP421" i="1" s="1"/>
  <c r="BO420" i="1"/>
  <c r="BP420" i="1" s="1"/>
  <c r="BO419" i="1"/>
  <c r="BP419" i="1" s="1"/>
  <c r="BO418" i="1"/>
  <c r="BP418" i="1" s="1"/>
  <c r="BO417" i="1"/>
  <c r="BP417" i="1" s="1"/>
  <c r="BO416" i="1"/>
  <c r="BP416" i="1" s="1"/>
  <c r="BO415" i="1"/>
  <c r="BP415" i="1" s="1"/>
  <c r="BO414" i="1"/>
  <c r="BP414" i="1" s="1"/>
  <c r="BO413" i="1"/>
  <c r="BP413" i="1" s="1"/>
  <c r="BO412" i="1"/>
  <c r="BP412" i="1" s="1"/>
  <c r="BO411" i="1"/>
  <c r="BP411" i="1" s="1"/>
  <c r="BO410" i="1"/>
  <c r="BP410" i="1" s="1"/>
  <c r="BO409" i="1"/>
  <c r="BP409" i="1" s="1"/>
  <c r="BO408" i="1"/>
  <c r="BP408" i="1" s="1"/>
  <c r="BO407" i="1"/>
  <c r="BP407" i="1" s="1"/>
  <c r="BO406" i="1"/>
  <c r="BP406" i="1" s="1"/>
  <c r="BO405" i="1"/>
  <c r="BP405" i="1" s="1"/>
  <c r="BO404" i="1"/>
  <c r="BP404" i="1" s="1"/>
  <c r="BO403" i="1"/>
  <c r="BP403" i="1" s="1"/>
  <c r="BO402" i="1"/>
  <c r="BP402" i="1" s="1"/>
  <c r="BO401" i="1"/>
  <c r="BP401" i="1" s="1"/>
  <c r="BO400" i="1"/>
  <c r="BP400" i="1" s="1"/>
  <c r="BO399" i="1"/>
  <c r="BP399" i="1" s="1"/>
  <c r="BO398" i="1"/>
  <c r="BP398" i="1" s="1"/>
  <c r="BO397" i="1"/>
  <c r="BP397" i="1" s="1"/>
  <c r="BO396" i="1"/>
  <c r="BP396" i="1" s="1"/>
  <c r="BO395" i="1"/>
  <c r="BP395" i="1" s="1"/>
  <c r="BO394" i="1"/>
  <c r="BP394" i="1" s="1"/>
  <c r="BO393" i="1"/>
  <c r="BP393" i="1" s="1"/>
  <c r="BO392" i="1"/>
  <c r="BO391" i="1"/>
  <c r="BP391" i="1" s="1"/>
  <c r="BO390" i="1"/>
  <c r="BP390" i="1" s="1"/>
  <c r="BO389" i="1"/>
  <c r="BP389" i="1" s="1"/>
  <c r="BO388" i="1"/>
  <c r="BP388" i="1" s="1"/>
  <c r="BO387" i="1"/>
  <c r="BP387" i="1" s="1"/>
  <c r="BO386" i="1"/>
  <c r="BP386" i="1" s="1"/>
  <c r="BO385" i="1"/>
  <c r="BP385" i="1" s="1"/>
  <c r="BO384" i="1"/>
  <c r="BO383" i="1"/>
  <c r="BP383" i="1" s="1"/>
  <c r="BO382" i="1"/>
  <c r="BP382" i="1" s="1"/>
  <c r="BO381" i="1"/>
  <c r="BP381" i="1" s="1"/>
  <c r="BO380" i="1"/>
  <c r="BP380" i="1" s="1"/>
  <c r="BO379" i="1"/>
  <c r="BP379" i="1" s="1"/>
  <c r="BO378" i="1"/>
  <c r="BP378" i="1" s="1"/>
  <c r="BO377" i="1"/>
  <c r="BP377" i="1" s="1"/>
  <c r="BO376" i="1"/>
  <c r="BP376" i="1" s="1"/>
  <c r="BO375" i="1"/>
  <c r="BP375" i="1" s="1"/>
  <c r="BO374" i="1"/>
  <c r="BP374" i="1" s="1"/>
  <c r="BO373" i="1"/>
  <c r="BP373" i="1" s="1"/>
  <c r="BO372" i="1"/>
  <c r="BP372" i="1" s="1"/>
  <c r="BO371" i="1"/>
  <c r="BP371" i="1" s="1"/>
  <c r="BO370" i="1"/>
  <c r="BP370" i="1" s="1"/>
  <c r="BO369" i="1"/>
  <c r="BP369" i="1" s="1"/>
  <c r="BO368" i="1"/>
  <c r="BP368" i="1" s="1"/>
  <c r="BO367" i="1"/>
  <c r="BP367" i="1" s="1"/>
  <c r="BO366" i="1"/>
  <c r="BO365" i="1"/>
  <c r="BP365" i="1" s="1"/>
  <c r="BO364" i="1"/>
  <c r="BO363" i="1"/>
  <c r="BP363" i="1" s="1"/>
  <c r="BO362" i="1"/>
  <c r="BP362" i="1" s="1"/>
  <c r="BO361" i="1"/>
  <c r="BP361" i="1" s="1"/>
  <c r="BO360" i="1"/>
  <c r="BP360" i="1" s="1"/>
  <c r="BO359" i="1"/>
  <c r="BP359" i="1" s="1"/>
  <c r="BO358" i="1"/>
  <c r="BP358" i="1" s="1"/>
  <c r="BO357" i="1"/>
  <c r="BP357" i="1" s="1"/>
  <c r="BO356" i="1"/>
  <c r="BP356" i="1" s="1"/>
  <c r="BO355" i="1"/>
  <c r="BP355" i="1" s="1"/>
  <c r="BO354" i="1"/>
  <c r="BP354" i="1" s="1"/>
  <c r="BO353" i="1"/>
  <c r="BP353" i="1" s="1"/>
  <c r="BO352" i="1"/>
  <c r="BO351" i="1"/>
  <c r="BP351" i="1" s="1"/>
  <c r="BO350" i="1"/>
  <c r="BO349" i="1"/>
  <c r="BP349" i="1" s="1"/>
  <c r="BO348" i="1"/>
  <c r="BP348" i="1" s="1"/>
  <c r="BO347" i="1"/>
  <c r="BP347" i="1" s="1"/>
  <c r="BO346" i="1"/>
  <c r="BP346" i="1" s="1"/>
  <c r="BO345" i="1"/>
  <c r="BP345" i="1" s="1"/>
  <c r="BO344" i="1"/>
  <c r="BP344" i="1" s="1"/>
  <c r="BO343" i="1"/>
  <c r="BP343" i="1" s="1"/>
  <c r="BO342" i="1"/>
  <c r="BP342" i="1" s="1"/>
  <c r="BO341" i="1"/>
  <c r="BP341" i="1" s="1"/>
  <c r="BO340" i="1"/>
  <c r="BO339" i="1"/>
  <c r="BP339" i="1" s="1"/>
  <c r="BO338" i="1"/>
  <c r="BP338" i="1" s="1"/>
  <c r="BO337" i="1"/>
  <c r="BP337" i="1" s="1"/>
  <c r="BO336" i="1"/>
  <c r="BP336" i="1" s="1"/>
  <c r="BO335" i="1"/>
  <c r="BP335" i="1" s="1"/>
  <c r="BO334" i="1"/>
  <c r="BP334" i="1" s="1"/>
  <c r="BO333" i="1"/>
  <c r="BO332" i="1"/>
  <c r="BP332" i="1" s="1"/>
  <c r="BO331" i="1"/>
  <c r="BP331" i="1" s="1"/>
  <c r="BO330" i="1"/>
  <c r="BP330" i="1" s="1"/>
  <c r="BO329" i="1"/>
  <c r="BP329" i="1" s="1"/>
  <c r="BO328" i="1"/>
  <c r="BP328" i="1" s="1"/>
  <c r="BO327" i="1"/>
  <c r="BP327" i="1" s="1"/>
  <c r="BO326" i="1"/>
  <c r="BP326" i="1" s="1"/>
  <c r="BO325" i="1"/>
  <c r="BP325" i="1" s="1"/>
  <c r="BO324" i="1"/>
  <c r="BP324" i="1" s="1"/>
  <c r="BO323" i="1"/>
  <c r="BP323" i="1" s="1"/>
  <c r="BO322" i="1"/>
  <c r="BP322" i="1" s="1"/>
  <c r="BO321" i="1"/>
  <c r="BP321" i="1" s="1"/>
  <c r="BO320" i="1"/>
  <c r="BP320" i="1" s="1"/>
  <c r="BO319" i="1"/>
  <c r="BP319" i="1" s="1"/>
  <c r="BO318" i="1"/>
  <c r="BP318" i="1" s="1"/>
  <c r="BO317" i="1"/>
  <c r="BP317" i="1" s="1"/>
  <c r="BO316" i="1"/>
  <c r="BP316" i="1" s="1"/>
  <c r="BO315" i="1"/>
  <c r="BP315" i="1" s="1"/>
  <c r="BO314" i="1"/>
  <c r="BP314" i="1" s="1"/>
  <c r="BO313" i="1"/>
  <c r="BP313" i="1" s="1"/>
  <c r="BO312" i="1"/>
  <c r="BP312" i="1" s="1"/>
  <c r="BO311" i="1"/>
  <c r="BP311" i="1" s="1"/>
  <c r="BO310" i="1"/>
  <c r="BO309" i="1"/>
  <c r="BP309" i="1" s="1"/>
  <c r="BO308" i="1"/>
  <c r="BP308" i="1" s="1"/>
  <c r="BO307" i="1"/>
  <c r="BP307" i="1" s="1"/>
  <c r="BO306" i="1"/>
  <c r="BP306" i="1" s="1"/>
  <c r="BO305" i="1"/>
  <c r="BP305" i="1" s="1"/>
  <c r="BO304" i="1"/>
  <c r="BP304" i="1" s="1"/>
  <c r="BO303" i="1"/>
  <c r="BP303" i="1" s="1"/>
  <c r="BO302" i="1"/>
  <c r="BP302" i="1" s="1"/>
  <c r="BO301" i="1"/>
  <c r="BP301" i="1" s="1"/>
  <c r="BO300" i="1"/>
  <c r="BP300" i="1" s="1"/>
  <c r="BO299" i="1"/>
  <c r="BO298" i="1"/>
  <c r="BP298" i="1" s="1"/>
  <c r="BO297" i="1"/>
  <c r="BP297" i="1" s="1"/>
  <c r="BO296" i="1"/>
  <c r="BP296" i="1" s="1"/>
  <c r="BO295" i="1"/>
  <c r="BP295" i="1" s="1"/>
  <c r="BO294" i="1"/>
  <c r="BP294" i="1" s="1"/>
  <c r="BO293" i="1"/>
  <c r="BP293" i="1" s="1"/>
  <c r="BO292" i="1"/>
  <c r="BP292" i="1" s="1"/>
  <c r="BO291" i="1"/>
  <c r="BP291" i="1" s="1"/>
  <c r="BO290" i="1"/>
  <c r="BP290" i="1" s="1"/>
  <c r="BO289" i="1"/>
  <c r="BP289" i="1" s="1"/>
  <c r="BO288" i="1"/>
  <c r="BP288" i="1" s="1"/>
  <c r="BO287" i="1"/>
  <c r="BP287" i="1" s="1"/>
  <c r="BO285" i="1"/>
  <c r="BP285" i="1" s="1"/>
  <c r="BO284" i="1"/>
  <c r="BP284" i="1" s="1"/>
  <c r="BO283" i="1"/>
  <c r="BP283" i="1" s="1"/>
  <c r="BO282" i="1"/>
  <c r="BP282" i="1" s="1"/>
  <c r="BO281" i="1"/>
  <c r="BP281" i="1" s="1"/>
  <c r="BO280" i="1"/>
  <c r="BP280" i="1" s="1"/>
  <c r="BO279" i="1"/>
  <c r="BP279" i="1" s="1"/>
  <c r="BO278" i="1"/>
  <c r="BO277" i="1"/>
  <c r="BO276" i="1"/>
  <c r="BP276" i="1" s="1"/>
  <c r="BO275" i="1"/>
  <c r="BP275" i="1" s="1"/>
  <c r="BO274" i="1"/>
  <c r="BO273" i="1"/>
  <c r="BP273" i="1" s="1"/>
  <c r="BO272" i="1"/>
  <c r="BO271" i="1"/>
  <c r="BP271" i="1" s="1"/>
  <c r="BO270" i="1"/>
  <c r="BP270" i="1" s="1"/>
  <c r="BO269" i="1"/>
  <c r="BP269" i="1" s="1"/>
  <c r="BO268" i="1"/>
  <c r="BP268" i="1" s="1"/>
  <c r="BO267" i="1"/>
  <c r="BP267" i="1" s="1"/>
  <c r="BO266" i="1"/>
  <c r="BO265" i="1"/>
  <c r="BP265" i="1" s="1"/>
  <c r="BO264" i="1"/>
  <c r="BO263" i="1"/>
  <c r="BP263" i="1" s="1"/>
  <c r="BO262" i="1"/>
  <c r="BP262" i="1" s="1"/>
  <c r="BO261" i="1"/>
  <c r="BP261" i="1" s="1"/>
  <c r="BO260" i="1"/>
  <c r="BP260" i="1" s="1"/>
  <c r="BO259" i="1"/>
  <c r="BP259" i="1" s="1"/>
  <c r="BO258" i="1"/>
  <c r="BP258" i="1" s="1"/>
  <c r="BO257" i="1"/>
  <c r="BP257" i="1" s="1"/>
  <c r="BO256" i="1"/>
  <c r="BP256" i="1" s="1"/>
  <c r="BO255" i="1"/>
  <c r="BP255" i="1" s="1"/>
  <c r="BO254" i="1"/>
  <c r="BP254" i="1" s="1"/>
  <c r="BO253" i="1"/>
  <c r="BP253" i="1" s="1"/>
  <c r="BO252" i="1"/>
  <c r="BP252" i="1" s="1"/>
  <c r="BO251" i="1"/>
  <c r="BP251" i="1" s="1"/>
  <c r="BO250" i="1"/>
  <c r="BP250" i="1" s="1"/>
  <c r="BO249" i="1"/>
  <c r="BP249" i="1" s="1"/>
  <c r="BO248" i="1"/>
  <c r="BO247" i="1"/>
  <c r="BP247" i="1" s="1"/>
  <c r="BO246" i="1"/>
  <c r="BP246" i="1" s="1"/>
  <c r="BO245" i="1"/>
  <c r="BP245" i="1" s="1"/>
  <c r="BO244" i="1"/>
  <c r="BP244" i="1" s="1"/>
  <c r="BO243" i="1"/>
  <c r="BP243" i="1" s="1"/>
  <c r="BO242" i="1"/>
  <c r="BO241" i="1"/>
  <c r="BP241" i="1" s="1"/>
  <c r="BO240" i="1"/>
  <c r="BP240" i="1" s="1"/>
  <c r="BO239" i="1"/>
  <c r="BP239" i="1" s="1"/>
  <c r="BO238" i="1"/>
  <c r="BO237" i="1"/>
  <c r="BP237" i="1" s="1"/>
  <c r="BO236" i="1"/>
  <c r="BP236" i="1" s="1"/>
  <c r="BO235" i="1"/>
  <c r="BP235" i="1" s="1"/>
  <c r="BO234" i="1"/>
  <c r="BP234" i="1" s="1"/>
  <c r="BO233" i="1"/>
  <c r="BP233" i="1" s="1"/>
  <c r="BO232" i="1"/>
  <c r="BP232" i="1" s="1"/>
  <c r="BO231" i="1"/>
  <c r="BP231" i="1" s="1"/>
  <c r="BO230" i="1"/>
  <c r="BP230" i="1" s="1"/>
  <c r="BO229" i="1"/>
  <c r="BP229" i="1" s="1"/>
  <c r="BO228" i="1"/>
  <c r="BP228" i="1" s="1"/>
  <c r="BO227" i="1"/>
  <c r="BP227" i="1" s="1"/>
  <c r="BO226" i="1"/>
  <c r="BP226" i="1" s="1"/>
  <c r="BO225" i="1"/>
  <c r="BP225" i="1" s="1"/>
  <c r="BO224" i="1"/>
  <c r="BP224" i="1" s="1"/>
  <c r="BO223" i="1"/>
  <c r="BP223" i="1" s="1"/>
  <c r="BO221" i="1"/>
  <c r="BP221" i="1" s="1"/>
  <c r="BO220" i="1"/>
  <c r="BP220" i="1" s="1"/>
  <c r="BO219" i="1"/>
  <c r="BP219" i="1" s="1"/>
  <c r="BO218" i="1"/>
  <c r="BP218" i="1" s="1"/>
  <c r="BO217" i="1"/>
  <c r="BP217" i="1" s="1"/>
  <c r="BO216" i="1"/>
  <c r="BO215" i="1"/>
  <c r="BP215" i="1" s="1"/>
  <c r="BO214" i="1"/>
  <c r="BP214" i="1" s="1"/>
  <c r="BO213" i="1"/>
  <c r="BP213" i="1" s="1"/>
  <c r="BO212" i="1"/>
  <c r="BO211" i="1"/>
  <c r="BP211" i="1" s="1"/>
  <c r="BO210" i="1"/>
  <c r="BP210" i="1" s="1"/>
  <c r="BO209" i="1"/>
  <c r="BP209" i="1" s="1"/>
  <c r="BO208" i="1"/>
  <c r="BP208" i="1" s="1"/>
  <c r="BO207" i="1"/>
  <c r="BP207" i="1" s="1"/>
  <c r="BO206" i="1"/>
  <c r="BP206" i="1" s="1"/>
  <c r="BO205" i="1"/>
  <c r="BP205" i="1" s="1"/>
  <c r="BO204" i="1"/>
  <c r="BP204" i="1" s="1"/>
  <c r="BO203" i="1"/>
  <c r="BP203" i="1" s="1"/>
  <c r="BO202" i="1"/>
  <c r="BP202" i="1" s="1"/>
  <c r="BO201" i="1"/>
  <c r="BP201" i="1" s="1"/>
  <c r="BO200" i="1"/>
  <c r="BP200" i="1" s="1"/>
  <c r="BO199" i="1"/>
  <c r="BP199" i="1" s="1"/>
  <c r="BO198" i="1"/>
  <c r="BP198" i="1" s="1"/>
  <c r="BO197" i="1"/>
  <c r="BP197" i="1" s="1"/>
  <c r="BO196" i="1"/>
  <c r="BP196" i="1" s="1"/>
  <c r="BO195" i="1"/>
  <c r="BP195" i="1" s="1"/>
  <c r="BO194" i="1"/>
  <c r="BO193" i="1"/>
  <c r="BP193" i="1" s="1"/>
  <c r="BO192" i="1"/>
  <c r="BP192" i="1" s="1"/>
  <c r="BO191" i="1"/>
  <c r="BP191" i="1" s="1"/>
  <c r="BO190" i="1"/>
  <c r="BP190" i="1" s="1"/>
  <c r="BO189" i="1"/>
  <c r="BP189" i="1" s="1"/>
  <c r="BO188" i="1"/>
  <c r="BP188" i="1" s="1"/>
  <c r="BO187" i="1"/>
  <c r="BP187" i="1" s="1"/>
  <c r="BO186" i="1"/>
  <c r="BP186" i="1" s="1"/>
  <c r="BO185" i="1"/>
  <c r="BP185" i="1" s="1"/>
  <c r="BO184" i="1"/>
  <c r="BP184" i="1" s="1"/>
  <c r="BO183" i="1"/>
  <c r="BO182" i="1"/>
  <c r="BP182" i="1" s="1"/>
  <c r="BO181" i="1"/>
  <c r="BP181" i="1" s="1"/>
  <c r="BO180" i="1"/>
  <c r="BO179" i="1"/>
  <c r="BP179" i="1" s="1"/>
  <c r="BO178" i="1"/>
  <c r="BP178" i="1" s="1"/>
  <c r="BO177" i="1"/>
  <c r="BP177" i="1" s="1"/>
  <c r="BO176" i="1"/>
  <c r="BP176" i="1" s="1"/>
  <c r="BO175" i="1"/>
  <c r="BP175" i="1" s="1"/>
  <c r="BO174" i="1"/>
  <c r="BP174" i="1" s="1"/>
  <c r="BO173" i="1"/>
  <c r="BP173" i="1" s="1"/>
  <c r="BO172" i="1"/>
  <c r="BP172" i="1" s="1"/>
  <c r="BO171" i="1"/>
  <c r="BP171" i="1" s="1"/>
  <c r="BO170" i="1"/>
  <c r="BP170" i="1" s="1"/>
  <c r="BO169" i="1"/>
  <c r="BP169" i="1" s="1"/>
  <c r="BO168" i="1"/>
  <c r="BP168" i="1" s="1"/>
  <c r="BO167" i="1"/>
  <c r="BP167" i="1" s="1"/>
  <c r="BO166" i="1"/>
  <c r="BP166" i="1" s="1"/>
  <c r="BO165" i="1"/>
  <c r="BP165" i="1" s="1"/>
  <c r="BO164" i="1"/>
  <c r="BO163" i="1"/>
  <c r="BP163" i="1" s="1"/>
  <c r="BO162" i="1"/>
  <c r="BP162" i="1" s="1"/>
  <c r="BO161" i="1"/>
  <c r="BP161" i="1" s="1"/>
  <c r="BO160" i="1"/>
  <c r="BP160" i="1" s="1"/>
  <c r="BO159" i="1"/>
  <c r="BP159" i="1" s="1"/>
  <c r="BO158" i="1"/>
  <c r="BP158" i="1" s="1"/>
  <c r="BO157" i="1"/>
  <c r="BP157" i="1" s="1"/>
  <c r="BO156" i="1"/>
  <c r="BP156" i="1" s="1"/>
  <c r="BO155" i="1"/>
  <c r="BO154" i="1"/>
  <c r="BP154" i="1" s="1"/>
  <c r="BO153" i="1"/>
  <c r="BP153" i="1" s="1"/>
  <c r="BO152" i="1"/>
  <c r="BP152" i="1" s="1"/>
  <c r="BO151" i="1"/>
  <c r="BP151" i="1" s="1"/>
  <c r="BO150" i="1"/>
  <c r="BP150" i="1" s="1"/>
  <c r="BO149" i="1"/>
  <c r="BO148" i="1"/>
  <c r="BP148" i="1" s="1"/>
  <c r="BO147" i="1"/>
  <c r="BP147" i="1" s="1"/>
  <c r="BO146" i="1"/>
  <c r="BP146" i="1" s="1"/>
  <c r="BO145" i="1"/>
  <c r="BP145" i="1" s="1"/>
  <c r="BO144" i="1"/>
  <c r="BP144" i="1" s="1"/>
  <c r="BO143" i="1"/>
  <c r="BP143" i="1" s="1"/>
  <c r="BO142" i="1"/>
  <c r="BP142" i="1" s="1"/>
  <c r="BO141" i="1"/>
  <c r="BP141" i="1" s="1"/>
  <c r="BO140" i="1"/>
  <c r="BP140" i="1" s="1"/>
  <c r="BO139" i="1"/>
  <c r="BP139" i="1" s="1"/>
  <c r="BO138" i="1"/>
  <c r="BP138" i="1" s="1"/>
  <c r="BO137" i="1"/>
  <c r="BP137" i="1" s="1"/>
  <c r="BO136" i="1"/>
  <c r="BP136" i="1" s="1"/>
  <c r="BO135" i="1"/>
  <c r="BP135" i="1" s="1"/>
  <c r="BO134" i="1"/>
  <c r="BP134" i="1" s="1"/>
  <c r="BO133" i="1"/>
  <c r="BP133" i="1" s="1"/>
  <c r="BO132" i="1"/>
  <c r="BP132" i="1" s="1"/>
  <c r="BO131" i="1"/>
  <c r="BP131" i="1" s="1"/>
  <c r="BO130" i="1"/>
  <c r="BP130" i="1" s="1"/>
  <c r="BO129" i="1"/>
  <c r="BP129" i="1" s="1"/>
  <c r="BO128" i="1"/>
  <c r="BP128" i="1" s="1"/>
  <c r="BO127" i="1"/>
  <c r="BP127" i="1" s="1"/>
  <c r="BO126" i="1"/>
  <c r="BP126" i="1" s="1"/>
  <c r="BO125" i="1"/>
  <c r="BP125" i="1" s="1"/>
  <c r="BO124" i="1"/>
  <c r="BP124" i="1" s="1"/>
  <c r="BO123" i="1"/>
  <c r="BP123" i="1" s="1"/>
  <c r="BO122" i="1"/>
  <c r="BP122" i="1" s="1"/>
  <c r="BO121" i="1"/>
  <c r="BP121" i="1" s="1"/>
  <c r="BO120" i="1"/>
  <c r="BP120" i="1" s="1"/>
  <c r="BO119" i="1"/>
  <c r="BP119" i="1" s="1"/>
  <c r="BO118" i="1"/>
  <c r="BP118" i="1" s="1"/>
  <c r="BO117" i="1"/>
  <c r="BP117" i="1" s="1"/>
  <c r="BO116" i="1"/>
  <c r="BP116" i="1" s="1"/>
  <c r="BO115" i="1"/>
  <c r="BP115" i="1" s="1"/>
  <c r="BO114" i="1"/>
  <c r="BP114" i="1" s="1"/>
  <c r="BO113" i="1"/>
  <c r="BP113" i="1" s="1"/>
  <c r="BO112" i="1"/>
  <c r="BP112" i="1" s="1"/>
  <c r="BO111" i="1"/>
  <c r="BP111" i="1" s="1"/>
  <c r="BO110" i="1"/>
  <c r="BP110" i="1" s="1"/>
  <c r="BO109" i="1"/>
  <c r="BP109" i="1" s="1"/>
  <c r="BO108" i="1"/>
  <c r="BP108" i="1" s="1"/>
  <c r="BO107" i="1"/>
  <c r="BP107" i="1" s="1"/>
  <c r="BO106" i="1"/>
  <c r="BP106" i="1" s="1"/>
  <c r="BO105" i="1"/>
  <c r="BP105" i="1" s="1"/>
  <c r="BO104" i="1"/>
  <c r="BP104" i="1" s="1"/>
  <c r="BO103" i="1"/>
  <c r="BP103" i="1" s="1"/>
  <c r="BO102" i="1"/>
  <c r="BP102" i="1" s="1"/>
  <c r="BO101" i="1"/>
  <c r="BP101" i="1" s="1"/>
  <c r="BO100" i="1"/>
  <c r="BP100" i="1" s="1"/>
  <c r="BO99" i="1"/>
  <c r="BP99" i="1" s="1"/>
  <c r="BO98" i="1"/>
  <c r="BP98" i="1" s="1"/>
  <c r="BO97" i="1"/>
  <c r="BP97" i="1" s="1"/>
  <c r="BO96" i="1"/>
  <c r="BP96" i="1" s="1"/>
  <c r="BO95" i="1"/>
  <c r="BP95" i="1" s="1"/>
  <c r="BO94" i="1"/>
  <c r="BP94" i="1" s="1"/>
  <c r="BO93" i="1"/>
  <c r="BP93" i="1" s="1"/>
  <c r="BO92" i="1"/>
  <c r="BP92" i="1" s="1"/>
  <c r="BO91" i="1"/>
  <c r="BP91" i="1" s="1"/>
  <c r="BO90" i="1"/>
  <c r="BP90" i="1" s="1"/>
  <c r="BO89" i="1"/>
  <c r="BP89" i="1" s="1"/>
  <c r="BO88" i="1"/>
  <c r="BP88" i="1" s="1"/>
  <c r="BO87" i="1"/>
  <c r="BP87" i="1" s="1"/>
  <c r="BO86" i="1"/>
  <c r="BP86" i="1" s="1"/>
  <c r="BO85" i="1"/>
  <c r="BP85" i="1" s="1"/>
  <c r="BO84" i="1"/>
  <c r="BP84" i="1" s="1"/>
  <c r="BO83" i="1"/>
  <c r="BP83" i="1" s="1"/>
  <c r="BO82" i="1"/>
  <c r="BP82" i="1" s="1"/>
  <c r="BO81" i="1"/>
  <c r="BP81" i="1" s="1"/>
  <c r="BO80" i="1"/>
  <c r="BP80" i="1" s="1"/>
  <c r="BO79" i="1"/>
  <c r="BP79" i="1" s="1"/>
  <c r="BO78" i="1"/>
  <c r="BP78" i="1" s="1"/>
  <c r="BO77" i="1"/>
  <c r="BP77" i="1" s="1"/>
  <c r="BO76" i="1"/>
  <c r="BP76" i="1" s="1"/>
  <c r="BO75" i="1"/>
  <c r="BP75" i="1" s="1"/>
  <c r="BO74" i="1"/>
  <c r="BP74" i="1" s="1"/>
  <c r="BO73" i="1"/>
  <c r="BP73" i="1" s="1"/>
  <c r="BO72" i="1"/>
  <c r="BP72" i="1" s="1"/>
  <c r="BO71" i="1"/>
  <c r="BP71" i="1" s="1"/>
  <c r="BO70" i="1"/>
  <c r="BP70" i="1" s="1"/>
  <c r="BO69" i="1"/>
  <c r="BP69" i="1" s="1"/>
  <c r="BO68" i="1"/>
  <c r="BP68" i="1" s="1"/>
  <c r="BO67" i="1"/>
  <c r="BP67" i="1" s="1"/>
  <c r="BO66" i="1"/>
  <c r="BP66" i="1" s="1"/>
  <c r="BO65" i="1"/>
  <c r="BP65" i="1" s="1"/>
  <c r="BO64" i="1"/>
  <c r="BP64" i="1" s="1"/>
  <c r="BO63" i="1"/>
  <c r="BP63" i="1" s="1"/>
  <c r="BO62" i="1"/>
  <c r="BP62" i="1" s="1"/>
  <c r="BO61" i="1"/>
  <c r="BP61" i="1" s="1"/>
  <c r="BO60" i="1"/>
  <c r="BP60" i="1" s="1"/>
  <c r="BO59" i="1"/>
  <c r="BP59" i="1" s="1"/>
  <c r="BO58" i="1"/>
  <c r="BP58" i="1" s="1"/>
  <c r="BO57" i="1"/>
  <c r="BP57" i="1" s="1"/>
  <c r="BO56" i="1"/>
  <c r="BP56" i="1" s="1"/>
  <c r="BO55" i="1"/>
  <c r="BP55" i="1" s="1"/>
  <c r="BO54" i="1"/>
  <c r="BP54" i="1" s="1"/>
  <c r="BO53" i="1"/>
  <c r="BP53" i="1" s="1"/>
  <c r="BO52" i="1"/>
  <c r="BP52" i="1" s="1"/>
  <c r="BO51" i="1"/>
  <c r="BP51" i="1" s="1"/>
  <c r="BO50" i="1"/>
  <c r="BP50" i="1" s="1"/>
  <c r="BO49" i="1"/>
  <c r="BP49" i="1" s="1"/>
  <c r="BO48" i="1"/>
  <c r="BP48" i="1" s="1"/>
  <c r="BO47" i="1"/>
  <c r="BP47" i="1" s="1"/>
  <c r="BO46" i="1"/>
  <c r="BP46" i="1" s="1"/>
  <c r="BO45" i="1"/>
  <c r="BP45" i="1" s="1"/>
  <c r="BO44" i="1"/>
  <c r="BP44" i="1" s="1"/>
  <c r="BO43" i="1"/>
  <c r="BP43" i="1" s="1"/>
  <c r="BO42" i="1"/>
  <c r="BP42" i="1" s="1"/>
  <c r="BO41" i="1"/>
  <c r="BP41" i="1" s="1"/>
  <c r="BO40" i="1"/>
  <c r="BP40" i="1" s="1"/>
  <c r="BO39" i="1"/>
  <c r="BP39" i="1" s="1"/>
  <c r="BO38" i="1"/>
  <c r="BP38" i="1" s="1"/>
  <c r="BO37" i="1"/>
  <c r="BP37" i="1" s="1"/>
  <c r="BO36" i="1"/>
  <c r="BP36" i="1" s="1"/>
  <c r="BO35" i="1"/>
  <c r="BP35" i="1" s="1"/>
  <c r="BO34" i="1"/>
  <c r="BP34" i="1" s="1"/>
  <c r="BO33" i="1"/>
  <c r="BP33" i="1" s="1"/>
  <c r="BO32" i="1"/>
  <c r="BP32" i="1" s="1"/>
  <c r="BO31" i="1"/>
  <c r="BP31" i="1" s="1"/>
  <c r="BO30" i="1"/>
  <c r="BP30" i="1" s="1"/>
  <c r="BO29" i="1"/>
  <c r="BP29" i="1" s="1"/>
  <c r="BO28" i="1"/>
  <c r="BP28" i="1" s="1"/>
  <c r="BO27" i="1"/>
  <c r="BP27" i="1" s="1"/>
  <c r="BO26" i="1"/>
  <c r="BP26" i="1" s="1"/>
  <c r="BO25" i="1"/>
  <c r="BP25" i="1" s="1"/>
  <c r="BO24" i="1"/>
  <c r="BP24" i="1" s="1"/>
  <c r="BO23" i="1"/>
  <c r="BP23" i="1" s="1"/>
  <c r="BO22" i="1"/>
  <c r="BP22" i="1" s="1"/>
  <c r="BO21" i="1"/>
  <c r="BP21" i="1" s="1"/>
  <c r="BO20" i="1"/>
  <c r="BP20" i="1" s="1"/>
  <c r="BO19" i="1"/>
  <c r="BP19" i="1" s="1"/>
  <c r="BO18" i="1"/>
  <c r="BP18" i="1" s="1"/>
  <c r="BO17" i="1"/>
  <c r="BP17" i="1" s="1"/>
  <c r="BO16" i="1"/>
  <c r="BP16" i="1" s="1"/>
  <c r="BO15" i="1"/>
  <c r="BP15" i="1" s="1"/>
  <c r="BO14" i="1"/>
  <c r="BP14" i="1" s="1"/>
  <c r="BO13" i="1"/>
  <c r="BP13" i="1" s="1"/>
  <c r="BO12" i="1"/>
  <c r="BP12" i="1" s="1"/>
  <c r="BO11" i="1"/>
  <c r="BP11" i="1" s="1"/>
  <c r="BO10" i="1"/>
  <c r="BP10" i="1" s="1"/>
  <c r="BO9" i="1"/>
  <c r="BP9" i="1" s="1"/>
  <c r="BO8" i="1"/>
  <c r="BP8" i="1" s="1"/>
  <c r="BO7" i="1"/>
  <c r="BP7" i="1" s="1"/>
  <c r="BO6" i="1"/>
  <c r="BP6" i="1" s="1"/>
  <c r="BO5" i="1"/>
  <c r="BP5" i="1" s="1"/>
  <c r="BO4" i="1"/>
  <c r="BP4" i="1" s="1"/>
  <c r="BO3" i="1"/>
  <c r="BP3" i="1" s="1"/>
  <c r="BO2" i="1"/>
  <c r="BP2" i="1" s="1"/>
  <c r="E1" i="3"/>
  <c r="D1" i="3"/>
  <c r="C1" i="3"/>
  <c r="B1" i="3"/>
  <c r="A1" i="3"/>
  <c r="H501" i="5"/>
  <c r="G501" i="5"/>
  <c r="E501" i="5"/>
  <c r="F501" i="5" s="1"/>
  <c r="H500" i="5"/>
  <c r="G500" i="5"/>
  <c r="E500" i="5"/>
  <c r="F500" i="5" s="1"/>
  <c r="H499" i="5"/>
  <c r="G499" i="5"/>
  <c r="E499" i="5"/>
  <c r="F499" i="5" s="1"/>
  <c r="H498" i="5"/>
  <c r="G498" i="5"/>
  <c r="E498" i="5"/>
  <c r="F498" i="5" s="1"/>
  <c r="H497" i="5"/>
  <c r="G497" i="5"/>
  <c r="E497" i="5"/>
  <c r="F497" i="5" s="1"/>
  <c r="H496" i="5"/>
  <c r="G496" i="5"/>
  <c r="K107" i="5" s="1"/>
  <c r="E496" i="5"/>
  <c r="F496" i="5" s="1"/>
  <c r="H495" i="5"/>
  <c r="G495" i="5"/>
  <c r="E495" i="5"/>
  <c r="F495" i="5" s="1"/>
  <c r="H494" i="5"/>
  <c r="G494" i="5"/>
  <c r="E494" i="5"/>
  <c r="F494" i="5" s="1"/>
  <c r="H493" i="5"/>
  <c r="G493" i="5"/>
  <c r="E493" i="5"/>
  <c r="F493" i="5" s="1"/>
  <c r="H492" i="5"/>
  <c r="G492" i="5"/>
  <c r="F492" i="5"/>
  <c r="E492" i="5"/>
  <c r="H491" i="5"/>
  <c r="G491" i="5"/>
  <c r="E491" i="5"/>
  <c r="F491" i="5" s="1"/>
  <c r="H490" i="5"/>
  <c r="G490" i="5"/>
  <c r="E490" i="5"/>
  <c r="F490" i="5" s="1"/>
  <c r="H489" i="5"/>
  <c r="G489" i="5"/>
  <c r="E489" i="5"/>
  <c r="F489" i="5" s="1"/>
  <c r="H488" i="5"/>
  <c r="G488" i="5"/>
  <c r="F488" i="5"/>
  <c r="E488" i="5"/>
  <c r="H487" i="5"/>
  <c r="G487" i="5"/>
  <c r="E487" i="5"/>
  <c r="F487" i="5" s="1"/>
  <c r="H486" i="5"/>
  <c r="G486" i="5"/>
  <c r="K142" i="5" s="1"/>
  <c r="N142" i="5" s="1"/>
  <c r="F486" i="5"/>
  <c r="E486" i="5"/>
  <c r="H485" i="5"/>
  <c r="G485" i="5"/>
  <c r="E485" i="5"/>
  <c r="F485" i="5" s="1"/>
  <c r="H484" i="5"/>
  <c r="K167" i="5" s="1"/>
  <c r="N167" i="5" s="1"/>
  <c r="G484" i="5"/>
  <c r="E484" i="5"/>
  <c r="F484" i="5" s="1"/>
  <c r="H483" i="5"/>
  <c r="G483" i="5"/>
  <c r="F483" i="5"/>
  <c r="E483" i="5"/>
  <c r="H482" i="5"/>
  <c r="G482" i="5"/>
  <c r="E482" i="5"/>
  <c r="F482" i="5" s="1"/>
  <c r="H481" i="5"/>
  <c r="G481" i="5"/>
  <c r="E481" i="5"/>
  <c r="F481" i="5" s="1"/>
  <c r="H480" i="5"/>
  <c r="G480" i="5"/>
  <c r="E480" i="5"/>
  <c r="F480" i="5" s="1"/>
  <c r="H479" i="5"/>
  <c r="G479" i="5"/>
  <c r="F479" i="5"/>
  <c r="E479" i="5"/>
  <c r="H478" i="5"/>
  <c r="G478" i="5"/>
  <c r="E478" i="5"/>
  <c r="F478" i="5" s="1"/>
  <c r="H477" i="5"/>
  <c r="G477" i="5"/>
  <c r="E477" i="5"/>
  <c r="F477" i="5" s="1"/>
  <c r="H476" i="5"/>
  <c r="G476" i="5"/>
  <c r="K166" i="5" s="1"/>
  <c r="N166" i="5" s="1"/>
  <c r="F476" i="5"/>
  <c r="E476" i="5"/>
  <c r="H475" i="5"/>
  <c r="G475" i="5"/>
  <c r="E475" i="5"/>
  <c r="F475" i="5" s="1"/>
  <c r="H474" i="5"/>
  <c r="G474" i="5"/>
  <c r="E474" i="5"/>
  <c r="F474" i="5" s="1"/>
  <c r="H473" i="5"/>
  <c r="G473" i="5"/>
  <c r="E473" i="5"/>
  <c r="F473" i="5" s="1"/>
  <c r="H472" i="5"/>
  <c r="G472" i="5"/>
  <c r="E472" i="5"/>
  <c r="F472" i="5" s="1"/>
  <c r="H471" i="5"/>
  <c r="G471" i="5"/>
  <c r="E471" i="5"/>
  <c r="F471" i="5" s="1"/>
  <c r="H470" i="5"/>
  <c r="G470" i="5"/>
  <c r="F470" i="5"/>
  <c r="E470" i="5"/>
  <c r="H469" i="5"/>
  <c r="G469" i="5"/>
  <c r="E469" i="5"/>
  <c r="F469" i="5" s="1"/>
  <c r="H468" i="5"/>
  <c r="G468" i="5"/>
  <c r="E468" i="5"/>
  <c r="F468" i="5" s="1"/>
  <c r="H467" i="5"/>
  <c r="G467" i="5"/>
  <c r="E467" i="5"/>
  <c r="F467" i="5" s="1"/>
  <c r="H466" i="5"/>
  <c r="G466" i="5"/>
  <c r="F466" i="5"/>
  <c r="E466" i="5"/>
  <c r="H465" i="5"/>
  <c r="G465" i="5"/>
  <c r="E465" i="5"/>
  <c r="F465" i="5" s="1"/>
  <c r="H464" i="5"/>
  <c r="G464" i="5"/>
  <c r="F464" i="5"/>
  <c r="E464" i="5"/>
  <c r="H463" i="5"/>
  <c r="G463" i="5"/>
  <c r="E463" i="5"/>
  <c r="F463" i="5" s="1"/>
  <c r="H462" i="5"/>
  <c r="G462" i="5"/>
  <c r="E462" i="5"/>
  <c r="F462" i="5" s="1"/>
  <c r="H461" i="5"/>
  <c r="G461" i="5"/>
  <c r="E461" i="5"/>
  <c r="F461" i="5" s="1"/>
  <c r="H460" i="5"/>
  <c r="G460" i="5"/>
  <c r="F460" i="5"/>
  <c r="E460" i="5"/>
  <c r="H459" i="5"/>
  <c r="G459" i="5"/>
  <c r="F459" i="5"/>
  <c r="E459" i="5"/>
  <c r="H458" i="5"/>
  <c r="G458" i="5"/>
  <c r="F458" i="5"/>
  <c r="E458" i="5"/>
  <c r="H457" i="5"/>
  <c r="G457" i="5"/>
  <c r="E457" i="5"/>
  <c r="F457" i="5" s="1"/>
  <c r="H456" i="5"/>
  <c r="G456" i="5"/>
  <c r="F456" i="5"/>
  <c r="E456" i="5"/>
  <c r="H455" i="5"/>
  <c r="G455" i="5"/>
  <c r="F455" i="5"/>
  <c r="E455" i="5"/>
  <c r="H454" i="5"/>
  <c r="G454" i="5"/>
  <c r="E454" i="5"/>
  <c r="F454" i="5" s="1"/>
  <c r="H453" i="5"/>
  <c r="G453" i="5"/>
  <c r="E453" i="5"/>
  <c r="F453" i="5" s="1"/>
  <c r="H452" i="5"/>
  <c r="G452" i="5"/>
  <c r="E452" i="5"/>
  <c r="F452" i="5" s="1"/>
  <c r="H451" i="5"/>
  <c r="G451" i="5"/>
  <c r="E451" i="5"/>
  <c r="F451" i="5" s="1"/>
  <c r="H450" i="5"/>
  <c r="G450" i="5"/>
  <c r="E450" i="5"/>
  <c r="F450" i="5" s="1"/>
  <c r="H449" i="5"/>
  <c r="G449" i="5"/>
  <c r="E449" i="5"/>
  <c r="F449" i="5" s="1"/>
  <c r="H448" i="5"/>
  <c r="G448" i="5"/>
  <c r="F448" i="5"/>
  <c r="E448" i="5"/>
  <c r="H447" i="5"/>
  <c r="G447" i="5"/>
  <c r="F447" i="5"/>
  <c r="E447" i="5"/>
  <c r="H446" i="5"/>
  <c r="G446" i="5"/>
  <c r="E446" i="5"/>
  <c r="F446" i="5" s="1"/>
  <c r="H445" i="5"/>
  <c r="G445" i="5"/>
  <c r="E445" i="5"/>
  <c r="F445" i="5" s="1"/>
  <c r="H444" i="5"/>
  <c r="G444" i="5"/>
  <c r="E444" i="5"/>
  <c r="F444" i="5" s="1"/>
  <c r="H443" i="5"/>
  <c r="G443" i="5"/>
  <c r="E443" i="5"/>
  <c r="F443" i="5" s="1"/>
  <c r="H442" i="5"/>
  <c r="G442" i="5"/>
  <c r="F442" i="5"/>
  <c r="E442" i="5"/>
  <c r="H441" i="5"/>
  <c r="G441" i="5"/>
  <c r="E441" i="5"/>
  <c r="F441" i="5" s="1"/>
  <c r="H440" i="5"/>
  <c r="G440" i="5"/>
  <c r="E440" i="5"/>
  <c r="F440" i="5" s="1"/>
  <c r="H439" i="5"/>
  <c r="G439" i="5"/>
  <c r="F439" i="5"/>
  <c r="E439" i="5"/>
  <c r="H438" i="5"/>
  <c r="G438" i="5"/>
  <c r="F438" i="5"/>
  <c r="E438" i="5"/>
  <c r="H437" i="5"/>
  <c r="G437" i="5"/>
  <c r="E437" i="5"/>
  <c r="F437" i="5" s="1"/>
  <c r="H436" i="5"/>
  <c r="G436" i="5"/>
  <c r="F436" i="5"/>
  <c r="E436" i="5"/>
  <c r="H435" i="5"/>
  <c r="G435" i="5"/>
  <c r="E435" i="5"/>
  <c r="F435" i="5" s="1"/>
  <c r="H434" i="5"/>
  <c r="G434" i="5"/>
  <c r="F434" i="5"/>
  <c r="E434" i="5"/>
  <c r="H433" i="5"/>
  <c r="G433" i="5"/>
  <c r="E433" i="5"/>
  <c r="F433" i="5" s="1"/>
  <c r="H432" i="5"/>
  <c r="G432" i="5"/>
  <c r="F432" i="5"/>
  <c r="E432" i="5"/>
  <c r="H431" i="5"/>
  <c r="G431" i="5"/>
  <c r="E431" i="5"/>
  <c r="F431" i="5" s="1"/>
  <c r="H430" i="5"/>
  <c r="G430" i="5"/>
  <c r="E430" i="5"/>
  <c r="F430" i="5" s="1"/>
  <c r="H429" i="5"/>
  <c r="G429" i="5"/>
  <c r="E429" i="5"/>
  <c r="F429" i="5" s="1"/>
  <c r="H428" i="5"/>
  <c r="G428" i="5"/>
  <c r="E428" i="5"/>
  <c r="F428" i="5" s="1"/>
  <c r="H427" i="5"/>
  <c r="G427" i="5"/>
  <c r="E427" i="5"/>
  <c r="F427" i="5" s="1"/>
  <c r="H426" i="5"/>
  <c r="G426" i="5"/>
  <c r="E426" i="5"/>
  <c r="F426" i="5" s="1"/>
  <c r="H425" i="5"/>
  <c r="G425" i="5"/>
  <c r="E425" i="5"/>
  <c r="F425" i="5" s="1"/>
  <c r="H424" i="5"/>
  <c r="G424" i="5"/>
  <c r="E424" i="5"/>
  <c r="F424" i="5" s="1"/>
  <c r="H423" i="5"/>
  <c r="G423" i="5"/>
  <c r="E423" i="5"/>
  <c r="F423" i="5" s="1"/>
  <c r="H422" i="5"/>
  <c r="G422" i="5"/>
  <c r="E422" i="5"/>
  <c r="F422" i="5" s="1"/>
  <c r="H421" i="5"/>
  <c r="G421" i="5"/>
  <c r="E421" i="5"/>
  <c r="F421" i="5" s="1"/>
  <c r="H420" i="5"/>
  <c r="G420" i="5"/>
  <c r="E420" i="5"/>
  <c r="F420" i="5" s="1"/>
  <c r="H419" i="5"/>
  <c r="G419" i="5"/>
  <c r="E419" i="5"/>
  <c r="F419" i="5" s="1"/>
  <c r="H418" i="5"/>
  <c r="G418" i="5"/>
  <c r="E418" i="5"/>
  <c r="F418" i="5" s="1"/>
  <c r="H417" i="5"/>
  <c r="G417" i="5"/>
  <c r="E417" i="5"/>
  <c r="F417" i="5" s="1"/>
  <c r="H416" i="5"/>
  <c r="G416" i="5"/>
  <c r="E416" i="5"/>
  <c r="F416" i="5" s="1"/>
  <c r="H415" i="5"/>
  <c r="G415" i="5"/>
  <c r="E415" i="5"/>
  <c r="F415" i="5" s="1"/>
  <c r="H414" i="5"/>
  <c r="G414" i="5"/>
  <c r="E414" i="5"/>
  <c r="F414" i="5" s="1"/>
  <c r="H413" i="5"/>
  <c r="G413" i="5"/>
  <c r="E413" i="5"/>
  <c r="F413" i="5" s="1"/>
  <c r="H412" i="5"/>
  <c r="K70" i="5" s="1"/>
  <c r="G412" i="5"/>
  <c r="F412" i="5"/>
  <c r="E412" i="5"/>
  <c r="H411" i="5"/>
  <c r="G411" i="5"/>
  <c r="E411" i="5"/>
  <c r="F411" i="5" s="1"/>
  <c r="H410" i="5"/>
  <c r="G410" i="5"/>
  <c r="F410" i="5"/>
  <c r="E410" i="5"/>
  <c r="H409" i="5"/>
  <c r="G409" i="5"/>
  <c r="E409" i="5"/>
  <c r="F409" i="5" s="1"/>
  <c r="H408" i="5"/>
  <c r="G408" i="5"/>
  <c r="K160" i="5" s="1"/>
  <c r="N160" i="5" s="1"/>
  <c r="F408" i="5"/>
  <c r="E408" i="5"/>
  <c r="H407" i="5"/>
  <c r="G407" i="5"/>
  <c r="F407" i="5"/>
  <c r="E407" i="5"/>
  <c r="H406" i="5"/>
  <c r="G406" i="5"/>
  <c r="E406" i="5"/>
  <c r="F406" i="5" s="1"/>
  <c r="H405" i="5"/>
  <c r="G405" i="5"/>
  <c r="E405" i="5"/>
  <c r="F405" i="5" s="1"/>
  <c r="H404" i="5"/>
  <c r="G404" i="5"/>
  <c r="E404" i="5"/>
  <c r="F404" i="5" s="1"/>
  <c r="H403" i="5"/>
  <c r="G403" i="5"/>
  <c r="E403" i="5"/>
  <c r="F403" i="5" s="1"/>
  <c r="H402" i="5"/>
  <c r="K158" i="5" s="1"/>
  <c r="G402" i="5"/>
  <c r="E402" i="5"/>
  <c r="F402" i="5" s="1"/>
  <c r="H401" i="5"/>
  <c r="G401" i="5"/>
  <c r="E401" i="5"/>
  <c r="F401" i="5" s="1"/>
  <c r="H400" i="5"/>
  <c r="G400" i="5"/>
  <c r="K157" i="5" s="1"/>
  <c r="N157" i="5" s="1"/>
  <c r="E400" i="5"/>
  <c r="F400" i="5" s="1"/>
  <c r="H399" i="5"/>
  <c r="G399" i="5"/>
  <c r="E399" i="5"/>
  <c r="F399" i="5" s="1"/>
  <c r="H398" i="5"/>
  <c r="G398" i="5"/>
  <c r="F398" i="5"/>
  <c r="E398" i="5"/>
  <c r="H397" i="5"/>
  <c r="G397" i="5"/>
  <c r="E397" i="5"/>
  <c r="F397" i="5" s="1"/>
  <c r="H396" i="5"/>
  <c r="G396" i="5"/>
  <c r="E396" i="5"/>
  <c r="F396" i="5" s="1"/>
  <c r="H395" i="5"/>
  <c r="G395" i="5"/>
  <c r="F395" i="5"/>
  <c r="E395" i="5"/>
  <c r="H394" i="5"/>
  <c r="G394" i="5"/>
  <c r="E394" i="5"/>
  <c r="F394" i="5" s="1"/>
  <c r="H393" i="5"/>
  <c r="G393" i="5"/>
  <c r="E393" i="5"/>
  <c r="F393" i="5" s="1"/>
  <c r="H392" i="5"/>
  <c r="G392" i="5"/>
  <c r="E392" i="5"/>
  <c r="F392" i="5" s="1"/>
  <c r="H391" i="5"/>
  <c r="G391" i="5"/>
  <c r="E391" i="5"/>
  <c r="F391" i="5" s="1"/>
  <c r="H390" i="5"/>
  <c r="G390" i="5"/>
  <c r="F390" i="5"/>
  <c r="E390" i="5"/>
  <c r="H389" i="5"/>
  <c r="G389" i="5"/>
  <c r="E389" i="5"/>
  <c r="F389" i="5" s="1"/>
  <c r="H388" i="5"/>
  <c r="G388" i="5"/>
  <c r="F388" i="5"/>
  <c r="E388" i="5"/>
  <c r="H387" i="5"/>
  <c r="K133" i="5" s="1"/>
  <c r="N133" i="5" s="1"/>
  <c r="G387" i="5"/>
  <c r="E387" i="5"/>
  <c r="F387" i="5" s="1"/>
  <c r="H386" i="5"/>
  <c r="G386" i="5"/>
  <c r="E386" i="5"/>
  <c r="F386" i="5" s="1"/>
  <c r="H385" i="5"/>
  <c r="G385" i="5"/>
  <c r="E385" i="5"/>
  <c r="F385" i="5" s="1"/>
  <c r="H384" i="5"/>
  <c r="G384" i="5"/>
  <c r="K48" i="5" s="1"/>
  <c r="N48" i="5" s="1"/>
  <c r="E384" i="5"/>
  <c r="F384" i="5" s="1"/>
  <c r="H383" i="5"/>
  <c r="G383" i="5"/>
  <c r="E383" i="5"/>
  <c r="F383" i="5" s="1"/>
  <c r="H382" i="5"/>
  <c r="G382" i="5"/>
  <c r="E382" i="5"/>
  <c r="F382" i="5" s="1"/>
  <c r="H381" i="5"/>
  <c r="G381" i="5"/>
  <c r="E381" i="5"/>
  <c r="F381" i="5" s="1"/>
  <c r="H380" i="5"/>
  <c r="G380" i="5"/>
  <c r="E380" i="5"/>
  <c r="F380" i="5" s="1"/>
  <c r="H379" i="5"/>
  <c r="G379" i="5"/>
  <c r="F379" i="5"/>
  <c r="E379" i="5"/>
  <c r="H378" i="5"/>
  <c r="G378" i="5"/>
  <c r="F378" i="5"/>
  <c r="E378" i="5"/>
  <c r="H377" i="5"/>
  <c r="G377" i="5"/>
  <c r="E377" i="5"/>
  <c r="F377" i="5" s="1"/>
  <c r="H376" i="5"/>
  <c r="G376" i="5"/>
  <c r="F376" i="5"/>
  <c r="E376" i="5"/>
  <c r="H375" i="5"/>
  <c r="G375" i="5"/>
  <c r="E375" i="5"/>
  <c r="F375" i="5" s="1"/>
  <c r="H374" i="5"/>
  <c r="G374" i="5"/>
  <c r="E374" i="5"/>
  <c r="F374" i="5" s="1"/>
  <c r="H373" i="5"/>
  <c r="G373" i="5"/>
  <c r="E373" i="5"/>
  <c r="F373" i="5" s="1"/>
  <c r="H372" i="5"/>
  <c r="G372" i="5"/>
  <c r="F372" i="5"/>
  <c r="E372" i="5"/>
  <c r="H371" i="5"/>
  <c r="G371" i="5"/>
  <c r="K153" i="5" s="1"/>
  <c r="N153" i="5" s="1"/>
  <c r="F371" i="5"/>
  <c r="E371" i="5"/>
  <c r="H370" i="5"/>
  <c r="G370" i="5"/>
  <c r="F370" i="5"/>
  <c r="E370" i="5"/>
  <c r="H369" i="5"/>
  <c r="G369" i="5"/>
  <c r="E369" i="5"/>
  <c r="F369" i="5" s="1"/>
  <c r="H368" i="5"/>
  <c r="G368" i="5"/>
  <c r="E368" i="5"/>
  <c r="F368" i="5" s="1"/>
  <c r="H367" i="5"/>
  <c r="G367" i="5"/>
  <c r="E367" i="5"/>
  <c r="F367" i="5" s="1"/>
  <c r="H366" i="5"/>
  <c r="G366" i="5"/>
  <c r="K103" i="5" s="1"/>
  <c r="E366" i="5"/>
  <c r="F366" i="5" s="1"/>
  <c r="H365" i="5"/>
  <c r="G365" i="5"/>
  <c r="E365" i="5"/>
  <c r="F365" i="5" s="1"/>
  <c r="H364" i="5"/>
  <c r="G364" i="5"/>
  <c r="F364" i="5"/>
  <c r="E364" i="5"/>
  <c r="H363" i="5"/>
  <c r="G363" i="5"/>
  <c r="E363" i="5"/>
  <c r="F363" i="5" s="1"/>
  <c r="H362" i="5"/>
  <c r="G362" i="5"/>
  <c r="F362" i="5"/>
  <c r="E362" i="5"/>
  <c r="H361" i="5"/>
  <c r="G361" i="5"/>
  <c r="E361" i="5"/>
  <c r="F361" i="5" s="1"/>
  <c r="H360" i="5"/>
  <c r="G360" i="5"/>
  <c r="F360" i="5"/>
  <c r="E360" i="5"/>
  <c r="H359" i="5"/>
  <c r="G359" i="5"/>
  <c r="F359" i="5"/>
  <c r="E359" i="5"/>
  <c r="H358" i="5"/>
  <c r="G358" i="5"/>
  <c r="E358" i="5"/>
  <c r="F358" i="5" s="1"/>
  <c r="H357" i="5"/>
  <c r="G357" i="5"/>
  <c r="E357" i="5"/>
  <c r="F357" i="5" s="1"/>
  <c r="H356" i="5"/>
  <c r="G356" i="5"/>
  <c r="E356" i="5"/>
  <c r="F356" i="5" s="1"/>
  <c r="H355" i="5"/>
  <c r="G355" i="5"/>
  <c r="F355" i="5"/>
  <c r="E355" i="5"/>
  <c r="H354" i="5"/>
  <c r="G354" i="5"/>
  <c r="E354" i="5"/>
  <c r="F354" i="5" s="1"/>
  <c r="H353" i="5"/>
  <c r="G353" i="5"/>
  <c r="E353" i="5"/>
  <c r="F353" i="5" s="1"/>
  <c r="H352" i="5"/>
  <c r="G352" i="5"/>
  <c r="K146" i="5" s="1"/>
  <c r="E352" i="5"/>
  <c r="F352" i="5" s="1"/>
  <c r="H351" i="5"/>
  <c r="G351" i="5"/>
  <c r="E351" i="5"/>
  <c r="F351" i="5" s="1"/>
  <c r="H350" i="5"/>
  <c r="G350" i="5"/>
  <c r="K95" i="5" s="1"/>
  <c r="F350" i="5"/>
  <c r="E350" i="5"/>
  <c r="H349" i="5"/>
  <c r="G349" i="5"/>
  <c r="E349" i="5"/>
  <c r="F349" i="5" s="1"/>
  <c r="H348" i="5"/>
  <c r="G348" i="5"/>
  <c r="F348" i="5"/>
  <c r="E348" i="5"/>
  <c r="H347" i="5"/>
  <c r="G347" i="5"/>
  <c r="E347" i="5"/>
  <c r="F347" i="5" s="1"/>
  <c r="H346" i="5"/>
  <c r="G346" i="5"/>
  <c r="K150" i="5" s="1"/>
  <c r="E346" i="5"/>
  <c r="F346" i="5" s="1"/>
  <c r="H345" i="5"/>
  <c r="G345" i="5"/>
  <c r="E345" i="5"/>
  <c r="F345" i="5" s="1"/>
  <c r="H344" i="5"/>
  <c r="G344" i="5"/>
  <c r="E344" i="5"/>
  <c r="F344" i="5" s="1"/>
  <c r="H343" i="5"/>
  <c r="G343" i="5"/>
  <c r="F343" i="5"/>
  <c r="E343" i="5"/>
  <c r="H342" i="5"/>
  <c r="G342" i="5"/>
  <c r="E342" i="5"/>
  <c r="F342" i="5" s="1"/>
  <c r="H341" i="5"/>
  <c r="G341" i="5"/>
  <c r="E341" i="5"/>
  <c r="F341" i="5" s="1"/>
  <c r="H340" i="5"/>
  <c r="G340" i="5"/>
  <c r="K98" i="5" s="1"/>
  <c r="N98" i="5" s="1"/>
  <c r="F340" i="5"/>
  <c r="E340" i="5"/>
  <c r="H339" i="5"/>
  <c r="G339" i="5"/>
  <c r="E339" i="5"/>
  <c r="F339" i="5" s="1"/>
  <c r="H338" i="5"/>
  <c r="G338" i="5"/>
  <c r="E338" i="5"/>
  <c r="F338" i="5" s="1"/>
  <c r="H337" i="5"/>
  <c r="G337" i="5"/>
  <c r="E337" i="5"/>
  <c r="F337" i="5" s="1"/>
  <c r="H336" i="5"/>
  <c r="G336" i="5"/>
  <c r="E336" i="5"/>
  <c r="F336" i="5" s="1"/>
  <c r="H335" i="5"/>
  <c r="G335" i="5"/>
  <c r="E335" i="5"/>
  <c r="F335" i="5" s="1"/>
  <c r="H334" i="5"/>
  <c r="G334" i="5"/>
  <c r="E334" i="5"/>
  <c r="F334" i="5" s="1"/>
  <c r="H333" i="5"/>
  <c r="G333" i="5"/>
  <c r="E333" i="5"/>
  <c r="F333" i="5" s="1"/>
  <c r="H332" i="5"/>
  <c r="G332" i="5"/>
  <c r="E332" i="5"/>
  <c r="F332" i="5" s="1"/>
  <c r="H331" i="5"/>
  <c r="G331" i="5"/>
  <c r="F331" i="5"/>
  <c r="E331" i="5"/>
  <c r="H330" i="5"/>
  <c r="G330" i="5"/>
  <c r="E330" i="5"/>
  <c r="F330" i="5" s="1"/>
  <c r="H329" i="5"/>
  <c r="G329" i="5"/>
  <c r="E329" i="5"/>
  <c r="F329" i="5" s="1"/>
  <c r="H328" i="5"/>
  <c r="G328" i="5"/>
  <c r="K145" i="5" s="1"/>
  <c r="F328" i="5"/>
  <c r="E328" i="5"/>
  <c r="H327" i="5"/>
  <c r="G327" i="5"/>
  <c r="E327" i="5"/>
  <c r="F327" i="5" s="1"/>
  <c r="H326" i="5"/>
  <c r="G326" i="5"/>
  <c r="E326" i="5"/>
  <c r="F326" i="5" s="1"/>
  <c r="H325" i="5"/>
  <c r="G325" i="5"/>
  <c r="E325" i="5"/>
  <c r="F325" i="5" s="1"/>
  <c r="H324" i="5"/>
  <c r="G324" i="5"/>
  <c r="F324" i="5"/>
  <c r="E324" i="5"/>
  <c r="H323" i="5"/>
  <c r="G323" i="5"/>
  <c r="F323" i="5"/>
  <c r="E323" i="5"/>
  <c r="H322" i="5"/>
  <c r="G322" i="5"/>
  <c r="E322" i="5"/>
  <c r="F322" i="5" s="1"/>
  <c r="H321" i="5"/>
  <c r="G321" i="5"/>
  <c r="E321" i="5"/>
  <c r="F321" i="5" s="1"/>
  <c r="H320" i="5"/>
  <c r="G320" i="5"/>
  <c r="E320" i="5"/>
  <c r="F320" i="5" s="1"/>
  <c r="H319" i="5"/>
  <c r="G319" i="5"/>
  <c r="E319" i="5"/>
  <c r="F319" i="5" s="1"/>
  <c r="H318" i="5"/>
  <c r="G318" i="5"/>
  <c r="K143" i="5" s="1"/>
  <c r="N143" i="5" s="1"/>
  <c r="E318" i="5"/>
  <c r="F318" i="5" s="1"/>
  <c r="H317" i="5"/>
  <c r="G317" i="5"/>
  <c r="E317" i="5"/>
  <c r="F317" i="5" s="1"/>
  <c r="H316" i="5"/>
  <c r="G316" i="5"/>
  <c r="F316" i="5"/>
  <c r="E316" i="5"/>
  <c r="H315" i="5"/>
  <c r="G315" i="5"/>
  <c r="F315" i="5"/>
  <c r="E315" i="5"/>
  <c r="H314" i="5"/>
  <c r="G314" i="5"/>
  <c r="F314" i="5"/>
  <c r="E314" i="5"/>
  <c r="H313" i="5"/>
  <c r="G313" i="5"/>
  <c r="E313" i="5"/>
  <c r="F313" i="5" s="1"/>
  <c r="H312" i="5"/>
  <c r="G312" i="5"/>
  <c r="E312" i="5"/>
  <c r="F312" i="5" s="1"/>
  <c r="H311" i="5"/>
  <c r="G311" i="5"/>
  <c r="E311" i="5"/>
  <c r="F311" i="5" s="1"/>
  <c r="H310" i="5"/>
  <c r="G310" i="5"/>
  <c r="E310" i="5"/>
  <c r="F310" i="5" s="1"/>
  <c r="H309" i="5"/>
  <c r="G309" i="5"/>
  <c r="E309" i="5"/>
  <c r="F309" i="5" s="1"/>
  <c r="H308" i="5"/>
  <c r="G308" i="5"/>
  <c r="E308" i="5"/>
  <c r="F308" i="5" s="1"/>
  <c r="H307" i="5"/>
  <c r="G307" i="5"/>
  <c r="F307" i="5"/>
  <c r="E307" i="5"/>
  <c r="H306" i="5"/>
  <c r="G306" i="5"/>
  <c r="E306" i="5"/>
  <c r="F306" i="5" s="1"/>
  <c r="H305" i="5"/>
  <c r="G305" i="5"/>
  <c r="E305" i="5"/>
  <c r="F305" i="5" s="1"/>
  <c r="H304" i="5"/>
  <c r="G304" i="5"/>
  <c r="E304" i="5"/>
  <c r="F304" i="5" s="1"/>
  <c r="H303" i="5"/>
  <c r="G303" i="5"/>
  <c r="E303" i="5"/>
  <c r="F303" i="5" s="1"/>
  <c r="H302" i="5"/>
  <c r="G302" i="5"/>
  <c r="F302" i="5"/>
  <c r="E302" i="5"/>
  <c r="H301" i="5"/>
  <c r="G301" i="5"/>
  <c r="E301" i="5"/>
  <c r="F301" i="5" s="1"/>
  <c r="H300" i="5"/>
  <c r="G300" i="5"/>
  <c r="E300" i="5"/>
  <c r="F300" i="5" s="1"/>
  <c r="H299" i="5"/>
  <c r="G299" i="5"/>
  <c r="E299" i="5"/>
  <c r="F299" i="5" s="1"/>
  <c r="H298" i="5"/>
  <c r="G298" i="5"/>
  <c r="E298" i="5"/>
  <c r="F298" i="5" s="1"/>
  <c r="H297" i="5"/>
  <c r="G297" i="5"/>
  <c r="E297" i="5"/>
  <c r="F297" i="5" s="1"/>
  <c r="H296" i="5"/>
  <c r="G296" i="5"/>
  <c r="E296" i="5"/>
  <c r="F296" i="5" s="1"/>
  <c r="H295" i="5"/>
  <c r="G295" i="5"/>
  <c r="F295" i="5"/>
  <c r="E295" i="5"/>
  <c r="H294" i="5"/>
  <c r="G294" i="5"/>
  <c r="K140" i="5" s="1"/>
  <c r="N140" i="5" s="1"/>
  <c r="E294" i="5"/>
  <c r="F294" i="5" s="1"/>
  <c r="H293" i="5"/>
  <c r="G293" i="5"/>
  <c r="E293" i="5"/>
  <c r="F293" i="5" s="1"/>
  <c r="H292" i="5"/>
  <c r="G292" i="5"/>
  <c r="E292" i="5"/>
  <c r="F292" i="5" s="1"/>
  <c r="H291" i="5"/>
  <c r="G291" i="5"/>
  <c r="E291" i="5"/>
  <c r="F291" i="5" s="1"/>
  <c r="H290" i="5"/>
  <c r="G290" i="5"/>
  <c r="E290" i="5"/>
  <c r="F290" i="5" s="1"/>
  <c r="H289" i="5"/>
  <c r="G289" i="5"/>
  <c r="E289" i="5"/>
  <c r="F289" i="5" s="1"/>
  <c r="H288" i="5"/>
  <c r="G288" i="5"/>
  <c r="K139" i="5" s="1"/>
  <c r="E288" i="5"/>
  <c r="F288" i="5" s="1"/>
  <c r="H287" i="5"/>
  <c r="G287" i="5"/>
  <c r="E287" i="5"/>
  <c r="F287" i="5" s="1"/>
  <c r="H286" i="5"/>
  <c r="G286" i="5"/>
  <c r="E286" i="5"/>
  <c r="F286" i="5" s="1"/>
  <c r="H285" i="5"/>
  <c r="G285" i="5"/>
  <c r="E285" i="5"/>
  <c r="F285" i="5" s="1"/>
  <c r="H284" i="5"/>
  <c r="G284" i="5"/>
  <c r="F284" i="5"/>
  <c r="E284" i="5"/>
  <c r="H283" i="5"/>
  <c r="G283" i="5"/>
  <c r="F283" i="5"/>
  <c r="E283" i="5"/>
  <c r="H282" i="5"/>
  <c r="G282" i="5"/>
  <c r="E282" i="5"/>
  <c r="F282" i="5" s="1"/>
  <c r="H281" i="5"/>
  <c r="G281" i="5"/>
  <c r="E281" i="5"/>
  <c r="F281" i="5" s="1"/>
  <c r="H280" i="5"/>
  <c r="G280" i="5"/>
  <c r="F280" i="5"/>
  <c r="E280" i="5"/>
  <c r="H279" i="5"/>
  <c r="G279" i="5"/>
  <c r="F279" i="5"/>
  <c r="E279" i="5"/>
  <c r="H278" i="5"/>
  <c r="G278" i="5"/>
  <c r="K116" i="5" s="1"/>
  <c r="E278" i="5"/>
  <c r="F278" i="5" s="1"/>
  <c r="H277" i="5"/>
  <c r="G277" i="5"/>
  <c r="E277" i="5"/>
  <c r="F277" i="5" s="1"/>
  <c r="H276" i="5"/>
  <c r="G276" i="5"/>
  <c r="E276" i="5"/>
  <c r="F276" i="5" s="1"/>
  <c r="H275" i="5"/>
  <c r="G275" i="5"/>
  <c r="E275" i="5"/>
  <c r="F275" i="5" s="1"/>
  <c r="H274" i="5"/>
  <c r="K137" i="5" s="1"/>
  <c r="G274" i="5"/>
  <c r="E274" i="5"/>
  <c r="F274" i="5" s="1"/>
  <c r="H273" i="5"/>
  <c r="G273" i="5"/>
  <c r="E273" i="5"/>
  <c r="F273" i="5" s="1"/>
  <c r="H272" i="5"/>
  <c r="G272" i="5"/>
  <c r="K136" i="5" s="1"/>
  <c r="E272" i="5"/>
  <c r="F272" i="5" s="1"/>
  <c r="H271" i="5"/>
  <c r="G271" i="5"/>
  <c r="E271" i="5"/>
  <c r="F271" i="5" s="1"/>
  <c r="H270" i="5"/>
  <c r="G270" i="5"/>
  <c r="E270" i="5"/>
  <c r="F270" i="5" s="1"/>
  <c r="H269" i="5"/>
  <c r="G269" i="5"/>
  <c r="E269" i="5"/>
  <c r="F269" i="5" s="1"/>
  <c r="H268" i="5"/>
  <c r="G268" i="5"/>
  <c r="F268" i="5"/>
  <c r="E268" i="5"/>
  <c r="H267" i="5"/>
  <c r="G267" i="5"/>
  <c r="K135" i="5" s="1"/>
  <c r="F267" i="5"/>
  <c r="E267" i="5"/>
  <c r="H266" i="5"/>
  <c r="G266" i="5"/>
  <c r="F266" i="5"/>
  <c r="E266" i="5"/>
  <c r="H265" i="5"/>
  <c r="G265" i="5"/>
  <c r="E265" i="5"/>
  <c r="F265" i="5" s="1"/>
  <c r="H264" i="5"/>
  <c r="G264" i="5"/>
  <c r="E264" i="5"/>
  <c r="F264" i="5" s="1"/>
  <c r="H263" i="5"/>
  <c r="G263" i="5"/>
  <c r="F263" i="5"/>
  <c r="E263" i="5"/>
  <c r="H262" i="5"/>
  <c r="G262" i="5"/>
  <c r="E262" i="5"/>
  <c r="F262" i="5" s="1"/>
  <c r="H261" i="5"/>
  <c r="G261" i="5"/>
  <c r="E261" i="5"/>
  <c r="F261" i="5" s="1"/>
  <c r="H260" i="5"/>
  <c r="G260" i="5"/>
  <c r="E260" i="5"/>
  <c r="F260" i="5" s="1"/>
  <c r="H259" i="5"/>
  <c r="G259" i="5"/>
  <c r="E259" i="5"/>
  <c r="F259" i="5" s="1"/>
  <c r="H258" i="5"/>
  <c r="G258" i="5"/>
  <c r="E258" i="5"/>
  <c r="F258" i="5" s="1"/>
  <c r="H257" i="5"/>
  <c r="G257" i="5"/>
  <c r="E257" i="5"/>
  <c r="F257" i="5" s="1"/>
  <c r="H256" i="5"/>
  <c r="G256" i="5"/>
  <c r="E256" i="5"/>
  <c r="F256" i="5" s="1"/>
  <c r="H255" i="5"/>
  <c r="G255" i="5"/>
  <c r="E255" i="5"/>
  <c r="F255" i="5" s="1"/>
  <c r="H254" i="5"/>
  <c r="G254" i="5"/>
  <c r="E254" i="5"/>
  <c r="F254" i="5" s="1"/>
  <c r="H253" i="5"/>
  <c r="G253" i="5"/>
  <c r="E253" i="5"/>
  <c r="F253" i="5" s="1"/>
  <c r="H252" i="5"/>
  <c r="G252" i="5"/>
  <c r="K132" i="5" s="1"/>
  <c r="F252" i="5"/>
  <c r="E252" i="5"/>
  <c r="H251" i="5"/>
  <c r="G251" i="5"/>
  <c r="E251" i="5"/>
  <c r="F251" i="5" s="1"/>
  <c r="H250" i="5"/>
  <c r="G250" i="5"/>
  <c r="F250" i="5"/>
  <c r="E250" i="5"/>
  <c r="H249" i="5"/>
  <c r="G249" i="5"/>
  <c r="E249" i="5"/>
  <c r="F249" i="5" s="1"/>
  <c r="H248" i="5"/>
  <c r="G248" i="5"/>
  <c r="E248" i="5"/>
  <c r="F248" i="5" s="1"/>
  <c r="H247" i="5"/>
  <c r="G247" i="5"/>
  <c r="F247" i="5"/>
  <c r="E247" i="5"/>
  <c r="H246" i="5"/>
  <c r="G246" i="5"/>
  <c r="F246" i="5"/>
  <c r="E246" i="5"/>
  <c r="H245" i="5"/>
  <c r="G245" i="5"/>
  <c r="E245" i="5"/>
  <c r="F245" i="5" s="1"/>
  <c r="H244" i="5"/>
  <c r="G244" i="5"/>
  <c r="K127" i="5" s="1"/>
  <c r="E244" i="5"/>
  <c r="F244" i="5" s="1"/>
  <c r="H243" i="5"/>
  <c r="K39" i="5" s="1"/>
  <c r="G243" i="5"/>
  <c r="E243" i="5"/>
  <c r="F243" i="5" s="1"/>
  <c r="H242" i="5"/>
  <c r="G242" i="5"/>
  <c r="E242" i="5"/>
  <c r="F242" i="5" s="1"/>
  <c r="H241" i="5"/>
  <c r="G241" i="5"/>
  <c r="E241" i="5"/>
  <c r="F241" i="5" s="1"/>
  <c r="H240" i="5"/>
  <c r="G240" i="5"/>
  <c r="F240" i="5"/>
  <c r="E240" i="5"/>
  <c r="H239" i="5"/>
  <c r="G239" i="5"/>
  <c r="E239" i="5"/>
  <c r="F239" i="5" s="1"/>
  <c r="H238" i="5"/>
  <c r="G238" i="5"/>
  <c r="K126" i="5" s="1"/>
  <c r="N126" i="5" s="1"/>
  <c r="E238" i="5"/>
  <c r="F238" i="5" s="1"/>
  <c r="H237" i="5"/>
  <c r="G237" i="5"/>
  <c r="E237" i="5"/>
  <c r="F237" i="5" s="1"/>
  <c r="H236" i="5"/>
  <c r="G236" i="5"/>
  <c r="E236" i="5"/>
  <c r="F236" i="5" s="1"/>
  <c r="H235" i="5"/>
  <c r="G235" i="5"/>
  <c r="F235" i="5"/>
  <c r="E235" i="5"/>
  <c r="H234" i="5"/>
  <c r="G234" i="5"/>
  <c r="E234" i="5"/>
  <c r="F234" i="5" s="1"/>
  <c r="H233" i="5"/>
  <c r="G233" i="5"/>
  <c r="E233" i="5"/>
  <c r="F233" i="5" s="1"/>
  <c r="H232" i="5"/>
  <c r="G232" i="5"/>
  <c r="F232" i="5"/>
  <c r="E232" i="5"/>
  <c r="H231" i="5"/>
  <c r="G231" i="5"/>
  <c r="F231" i="5"/>
  <c r="E231" i="5"/>
  <c r="H230" i="5"/>
  <c r="G230" i="5"/>
  <c r="E230" i="5"/>
  <c r="F230" i="5" s="1"/>
  <c r="H229" i="5"/>
  <c r="G229" i="5"/>
  <c r="E229" i="5"/>
  <c r="F229" i="5" s="1"/>
  <c r="H228" i="5"/>
  <c r="G228" i="5"/>
  <c r="E228" i="5"/>
  <c r="F228" i="5" s="1"/>
  <c r="H227" i="5"/>
  <c r="G227" i="5"/>
  <c r="E227" i="5"/>
  <c r="F227" i="5" s="1"/>
  <c r="H226" i="5"/>
  <c r="G226" i="5"/>
  <c r="E226" i="5"/>
  <c r="F226" i="5" s="1"/>
  <c r="H225" i="5"/>
  <c r="G225" i="5"/>
  <c r="E225" i="5"/>
  <c r="F225" i="5" s="1"/>
  <c r="H224" i="5"/>
  <c r="G224" i="5"/>
  <c r="E224" i="5"/>
  <c r="F224" i="5" s="1"/>
  <c r="H223" i="5"/>
  <c r="G223" i="5"/>
  <c r="F223" i="5"/>
  <c r="E223" i="5"/>
  <c r="H222" i="5"/>
  <c r="G222" i="5"/>
  <c r="E222" i="5"/>
  <c r="F222" i="5" s="1"/>
  <c r="H221" i="5"/>
  <c r="G221" i="5"/>
  <c r="E221" i="5"/>
  <c r="F221" i="5" s="1"/>
  <c r="H220" i="5"/>
  <c r="G220" i="5"/>
  <c r="F220" i="5"/>
  <c r="E220" i="5"/>
  <c r="H219" i="5"/>
  <c r="G219" i="5"/>
  <c r="F219" i="5"/>
  <c r="E219" i="5"/>
  <c r="H218" i="5"/>
  <c r="G218" i="5"/>
  <c r="E218" i="5"/>
  <c r="F218" i="5" s="1"/>
  <c r="H217" i="5"/>
  <c r="G217" i="5"/>
  <c r="E217" i="5"/>
  <c r="F217" i="5" s="1"/>
  <c r="H216" i="5"/>
  <c r="G216" i="5"/>
  <c r="E216" i="5"/>
  <c r="F216" i="5" s="1"/>
  <c r="H215" i="5"/>
  <c r="G215" i="5"/>
  <c r="F215" i="5"/>
  <c r="E215" i="5"/>
  <c r="H214" i="5"/>
  <c r="G214" i="5"/>
  <c r="F214" i="5"/>
  <c r="E214" i="5"/>
  <c r="H213" i="5"/>
  <c r="G213" i="5"/>
  <c r="E213" i="5"/>
  <c r="F213" i="5" s="1"/>
  <c r="H212" i="5"/>
  <c r="G212" i="5"/>
  <c r="E212" i="5"/>
  <c r="F212" i="5" s="1"/>
  <c r="H211" i="5"/>
  <c r="K114" i="5" s="1"/>
  <c r="G211" i="5"/>
  <c r="E211" i="5"/>
  <c r="F211" i="5" s="1"/>
  <c r="H210" i="5"/>
  <c r="G210" i="5"/>
  <c r="F210" i="5"/>
  <c r="E210" i="5"/>
  <c r="H209" i="5"/>
  <c r="G209" i="5"/>
  <c r="E209" i="5"/>
  <c r="F209" i="5" s="1"/>
  <c r="H208" i="5"/>
  <c r="G208" i="5"/>
  <c r="F208" i="5"/>
  <c r="E208" i="5"/>
  <c r="H207" i="5"/>
  <c r="G207" i="5"/>
  <c r="E207" i="5"/>
  <c r="F207" i="5" s="1"/>
  <c r="H206" i="5"/>
  <c r="G206" i="5"/>
  <c r="K45" i="5" s="1"/>
  <c r="F206" i="5"/>
  <c r="E206" i="5"/>
  <c r="H205" i="5"/>
  <c r="G205" i="5"/>
  <c r="E205" i="5"/>
  <c r="F205" i="5" s="1"/>
  <c r="H204" i="5"/>
  <c r="G204" i="5"/>
  <c r="F204" i="5"/>
  <c r="E204" i="5"/>
  <c r="H203" i="5"/>
  <c r="G203" i="5"/>
  <c r="F203" i="5"/>
  <c r="E203" i="5"/>
  <c r="H202" i="5"/>
  <c r="G202" i="5"/>
  <c r="F202" i="5"/>
  <c r="E202" i="5"/>
  <c r="H201" i="5"/>
  <c r="G201" i="5"/>
  <c r="E201" i="5"/>
  <c r="F201" i="5" s="1"/>
  <c r="H200" i="5"/>
  <c r="K110" i="5" s="1"/>
  <c r="G200" i="5"/>
  <c r="E200" i="5"/>
  <c r="F200" i="5" s="1"/>
  <c r="H199" i="5"/>
  <c r="G199" i="5"/>
  <c r="E199" i="5"/>
  <c r="F199" i="5" s="1"/>
  <c r="H198" i="5"/>
  <c r="G198" i="5"/>
  <c r="E198" i="5"/>
  <c r="F198" i="5" s="1"/>
  <c r="H197" i="5"/>
  <c r="G197" i="5"/>
  <c r="E197" i="5"/>
  <c r="F197" i="5" s="1"/>
  <c r="H196" i="5"/>
  <c r="G196" i="5"/>
  <c r="E196" i="5"/>
  <c r="F196" i="5" s="1"/>
  <c r="H195" i="5"/>
  <c r="G195" i="5"/>
  <c r="F195" i="5"/>
  <c r="E195" i="5"/>
  <c r="H194" i="5"/>
  <c r="G194" i="5"/>
  <c r="E194" i="5"/>
  <c r="F194" i="5" s="1"/>
  <c r="H193" i="5"/>
  <c r="G193" i="5"/>
  <c r="E193" i="5"/>
  <c r="F193" i="5" s="1"/>
  <c r="H192" i="5"/>
  <c r="G192" i="5"/>
  <c r="E192" i="5"/>
  <c r="F192" i="5" s="1"/>
  <c r="H191" i="5"/>
  <c r="G191" i="5"/>
  <c r="F191" i="5"/>
  <c r="E191" i="5"/>
  <c r="H190" i="5"/>
  <c r="G190" i="5"/>
  <c r="E190" i="5"/>
  <c r="F190" i="5" s="1"/>
  <c r="H189" i="5"/>
  <c r="G189" i="5"/>
  <c r="E189" i="5"/>
  <c r="F189" i="5" s="1"/>
  <c r="H188" i="5"/>
  <c r="G188" i="5"/>
  <c r="F188" i="5"/>
  <c r="E188" i="5"/>
  <c r="H187" i="5"/>
  <c r="G187" i="5"/>
  <c r="E187" i="5"/>
  <c r="F187" i="5" s="1"/>
  <c r="H186" i="5"/>
  <c r="K105" i="5" s="1"/>
  <c r="G186" i="5"/>
  <c r="F186" i="5"/>
  <c r="E186" i="5"/>
  <c r="H185" i="5"/>
  <c r="G185" i="5"/>
  <c r="E185" i="5"/>
  <c r="F185" i="5" s="1"/>
  <c r="H184" i="5"/>
  <c r="G184" i="5"/>
  <c r="E184" i="5"/>
  <c r="F184" i="5" s="1"/>
  <c r="H183" i="5"/>
  <c r="G183" i="5"/>
  <c r="E183" i="5"/>
  <c r="F183" i="5" s="1"/>
  <c r="H182" i="5"/>
  <c r="G182" i="5"/>
  <c r="E182" i="5"/>
  <c r="F182" i="5" s="1"/>
  <c r="H181" i="5"/>
  <c r="G181" i="5"/>
  <c r="E181" i="5"/>
  <c r="F181" i="5" s="1"/>
  <c r="H180" i="5"/>
  <c r="G180" i="5"/>
  <c r="F180" i="5"/>
  <c r="E180" i="5"/>
  <c r="H179" i="5"/>
  <c r="G179" i="5"/>
  <c r="E179" i="5"/>
  <c r="F179" i="5" s="1"/>
  <c r="H178" i="5"/>
  <c r="G178" i="5"/>
  <c r="K76" i="5" s="1"/>
  <c r="F178" i="5"/>
  <c r="E178" i="5"/>
  <c r="H177" i="5"/>
  <c r="G177" i="5"/>
  <c r="E177" i="5"/>
  <c r="F177" i="5" s="1"/>
  <c r="H176" i="5"/>
  <c r="G176" i="5"/>
  <c r="E176" i="5"/>
  <c r="F176" i="5" s="1"/>
  <c r="H175" i="5"/>
  <c r="G175" i="5"/>
  <c r="F175" i="5"/>
  <c r="E175" i="5"/>
  <c r="H174" i="5"/>
  <c r="G174" i="5"/>
  <c r="E174" i="5"/>
  <c r="F174" i="5" s="1"/>
  <c r="H173" i="5"/>
  <c r="G173" i="5"/>
  <c r="E173" i="5"/>
  <c r="F173" i="5" s="1"/>
  <c r="H172" i="5"/>
  <c r="G172" i="5"/>
  <c r="F172" i="5"/>
  <c r="E172" i="5"/>
  <c r="H171" i="5"/>
  <c r="G171" i="5"/>
  <c r="K100" i="5" s="1"/>
  <c r="E171" i="5"/>
  <c r="F171" i="5" s="1"/>
  <c r="H170" i="5"/>
  <c r="G170" i="5"/>
  <c r="K42" i="5" s="1"/>
  <c r="E170" i="5"/>
  <c r="F170" i="5" s="1"/>
  <c r="H169" i="5"/>
  <c r="G169" i="5"/>
  <c r="E169" i="5"/>
  <c r="F169" i="5" s="1"/>
  <c r="H168" i="5"/>
  <c r="G168" i="5"/>
  <c r="E168" i="5"/>
  <c r="F168" i="5" s="1"/>
  <c r="J167" i="5"/>
  <c r="H167" i="5"/>
  <c r="G167" i="5"/>
  <c r="E167" i="5"/>
  <c r="F167" i="5" s="1"/>
  <c r="J166" i="5"/>
  <c r="H166" i="5"/>
  <c r="G166" i="5"/>
  <c r="F166" i="5"/>
  <c r="E166" i="5"/>
  <c r="N165" i="5"/>
  <c r="K165" i="5"/>
  <c r="J165" i="5"/>
  <c r="H165" i="5"/>
  <c r="G165" i="5"/>
  <c r="F165" i="5"/>
  <c r="E165" i="5"/>
  <c r="J164" i="5"/>
  <c r="H164" i="5"/>
  <c r="G164" i="5"/>
  <c r="F164" i="5"/>
  <c r="E164" i="5"/>
  <c r="J163" i="5"/>
  <c r="H163" i="5"/>
  <c r="G163" i="5"/>
  <c r="K97" i="5" s="1"/>
  <c r="E163" i="5"/>
  <c r="F163" i="5" s="1"/>
  <c r="K162" i="5"/>
  <c r="N162" i="5" s="1"/>
  <c r="J162" i="5"/>
  <c r="H162" i="5"/>
  <c r="G162" i="5"/>
  <c r="F162" i="5"/>
  <c r="E162" i="5"/>
  <c r="K161" i="5"/>
  <c r="J161" i="5"/>
  <c r="H161" i="5"/>
  <c r="G161" i="5"/>
  <c r="E161" i="5"/>
  <c r="F161" i="5" s="1"/>
  <c r="J160" i="5"/>
  <c r="H160" i="5"/>
  <c r="G160" i="5"/>
  <c r="E160" i="5"/>
  <c r="F160" i="5" s="1"/>
  <c r="J159" i="5"/>
  <c r="H159" i="5"/>
  <c r="G159" i="5"/>
  <c r="E159" i="5"/>
  <c r="F159" i="5" s="1"/>
  <c r="J158" i="5"/>
  <c r="N158" i="5" s="1"/>
  <c r="H158" i="5"/>
  <c r="G158" i="5"/>
  <c r="F158" i="5"/>
  <c r="E158" i="5"/>
  <c r="J157" i="5"/>
  <c r="H157" i="5"/>
  <c r="G157" i="5"/>
  <c r="E157" i="5"/>
  <c r="F157" i="5" s="1"/>
  <c r="K156" i="5"/>
  <c r="J156" i="5"/>
  <c r="H156" i="5"/>
  <c r="K91" i="5" s="1"/>
  <c r="N91" i="5" s="1"/>
  <c r="G156" i="5"/>
  <c r="E156" i="5"/>
  <c r="F156" i="5" s="1"/>
  <c r="K155" i="5"/>
  <c r="J155" i="5"/>
  <c r="N155" i="5" s="1"/>
  <c r="H155" i="5"/>
  <c r="G155" i="5"/>
  <c r="E155" i="5"/>
  <c r="F155" i="5" s="1"/>
  <c r="K154" i="5"/>
  <c r="J154" i="5"/>
  <c r="H154" i="5"/>
  <c r="G154" i="5"/>
  <c r="E154" i="5"/>
  <c r="F154" i="5" s="1"/>
  <c r="J153" i="5"/>
  <c r="H153" i="5"/>
  <c r="G153" i="5"/>
  <c r="F153" i="5"/>
  <c r="E153" i="5"/>
  <c r="K152" i="5"/>
  <c r="N152" i="5" s="1"/>
  <c r="J152" i="5"/>
  <c r="H152" i="5"/>
  <c r="G152" i="5"/>
  <c r="F152" i="5"/>
  <c r="E152" i="5"/>
  <c r="K151" i="5"/>
  <c r="J151" i="5"/>
  <c r="N151" i="5" s="1"/>
  <c r="H151" i="5"/>
  <c r="G151" i="5"/>
  <c r="F151" i="5"/>
  <c r="E151" i="5"/>
  <c r="N150" i="5"/>
  <c r="J150" i="5"/>
  <c r="H150" i="5"/>
  <c r="G150" i="5"/>
  <c r="E150" i="5"/>
  <c r="F150" i="5" s="1"/>
  <c r="K149" i="5"/>
  <c r="J149" i="5"/>
  <c r="N149" i="5" s="1"/>
  <c r="H149" i="5"/>
  <c r="G149" i="5"/>
  <c r="E149" i="5"/>
  <c r="F149" i="5" s="1"/>
  <c r="K148" i="5"/>
  <c r="J148" i="5"/>
  <c r="H148" i="5"/>
  <c r="G148" i="5"/>
  <c r="F148" i="5"/>
  <c r="E148" i="5"/>
  <c r="K147" i="5"/>
  <c r="J147" i="5"/>
  <c r="H147" i="5"/>
  <c r="G147" i="5"/>
  <c r="E147" i="5"/>
  <c r="F147" i="5" s="1"/>
  <c r="J146" i="5"/>
  <c r="H146" i="5"/>
  <c r="G146" i="5"/>
  <c r="F146" i="5"/>
  <c r="E146" i="5"/>
  <c r="J145" i="5"/>
  <c r="H145" i="5"/>
  <c r="G145" i="5"/>
  <c r="E145" i="5"/>
  <c r="F145" i="5" s="1"/>
  <c r="K144" i="5"/>
  <c r="J144" i="5"/>
  <c r="N144" i="5" s="1"/>
  <c r="H144" i="5"/>
  <c r="K88" i="5" s="1"/>
  <c r="N88" i="5" s="1"/>
  <c r="G144" i="5"/>
  <c r="E144" i="5"/>
  <c r="F144" i="5" s="1"/>
  <c r="J143" i="5"/>
  <c r="H143" i="5"/>
  <c r="G143" i="5"/>
  <c r="K87" i="5" s="1"/>
  <c r="E143" i="5"/>
  <c r="F143" i="5" s="1"/>
  <c r="J142" i="5"/>
  <c r="H142" i="5"/>
  <c r="G142" i="5"/>
  <c r="F142" i="5"/>
  <c r="E142" i="5"/>
  <c r="K141" i="5"/>
  <c r="N141" i="5" s="1"/>
  <c r="J141" i="5"/>
  <c r="H141" i="5"/>
  <c r="G141" i="5"/>
  <c r="E141" i="5"/>
  <c r="F141" i="5" s="1"/>
  <c r="J140" i="5"/>
  <c r="H140" i="5"/>
  <c r="G140" i="5"/>
  <c r="K86" i="5" s="1"/>
  <c r="N86" i="5" s="1"/>
  <c r="E140" i="5"/>
  <c r="F140" i="5" s="1"/>
  <c r="J139" i="5"/>
  <c r="H139" i="5"/>
  <c r="G139" i="5"/>
  <c r="E139" i="5"/>
  <c r="F139" i="5" s="1"/>
  <c r="K138" i="5"/>
  <c r="J138" i="5"/>
  <c r="H138" i="5"/>
  <c r="G138" i="5"/>
  <c r="E138" i="5"/>
  <c r="F138" i="5" s="1"/>
  <c r="J137" i="5"/>
  <c r="H137" i="5"/>
  <c r="G137" i="5"/>
  <c r="F137" i="5"/>
  <c r="E137" i="5"/>
  <c r="J136" i="5"/>
  <c r="N136" i="5" s="1"/>
  <c r="H136" i="5"/>
  <c r="G136" i="5"/>
  <c r="F136" i="5"/>
  <c r="E136" i="5"/>
  <c r="J135" i="5"/>
  <c r="H135" i="5"/>
  <c r="G135" i="5"/>
  <c r="E135" i="5"/>
  <c r="F135" i="5" s="1"/>
  <c r="J134" i="5"/>
  <c r="H134" i="5"/>
  <c r="G134" i="5"/>
  <c r="F134" i="5"/>
  <c r="E134" i="5"/>
  <c r="J133" i="5"/>
  <c r="H133" i="5"/>
  <c r="G133" i="5"/>
  <c r="K82" i="5" s="1"/>
  <c r="N82" i="5" s="1"/>
  <c r="E133" i="5"/>
  <c r="F133" i="5" s="1"/>
  <c r="J132" i="5"/>
  <c r="H132" i="5"/>
  <c r="G132" i="5"/>
  <c r="F132" i="5"/>
  <c r="E132" i="5"/>
  <c r="K131" i="5"/>
  <c r="J131" i="5"/>
  <c r="N131" i="5" s="1"/>
  <c r="H131" i="5"/>
  <c r="G131" i="5"/>
  <c r="K81" i="5" s="1"/>
  <c r="E131" i="5"/>
  <c r="F131" i="5" s="1"/>
  <c r="K130" i="5"/>
  <c r="N130" i="5" s="1"/>
  <c r="J130" i="5"/>
  <c r="H130" i="5"/>
  <c r="G130" i="5"/>
  <c r="F130" i="5"/>
  <c r="E130" i="5"/>
  <c r="K129" i="5"/>
  <c r="J129" i="5"/>
  <c r="H129" i="5"/>
  <c r="G129" i="5"/>
  <c r="F129" i="5"/>
  <c r="E129" i="5"/>
  <c r="K128" i="5"/>
  <c r="J128" i="5"/>
  <c r="N128" i="5" s="1"/>
  <c r="H128" i="5"/>
  <c r="G128" i="5"/>
  <c r="E128" i="5"/>
  <c r="F128" i="5" s="1"/>
  <c r="N127" i="5"/>
  <c r="J127" i="5"/>
  <c r="H127" i="5"/>
  <c r="G127" i="5"/>
  <c r="F127" i="5"/>
  <c r="E127" i="5"/>
  <c r="J126" i="5"/>
  <c r="H126" i="5"/>
  <c r="G126" i="5"/>
  <c r="F126" i="5"/>
  <c r="E126" i="5"/>
  <c r="N125" i="5"/>
  <c r="K125" i="5"/>
  <c r="J125" i="5"/>
  <c r="H125" i="5"/>
  <c r="G125" i="5"/>
  <c r="E125" i="5"/>
  <c r="F125" i="5" s="1"/>
  <c r="K124" i="5"/>
  <c r="J124" i="5"/>
  <c r="H124" i="5"/>
  <c r="G124" i="5"/>
  <c r="E124" i="5"/>
  <c r="F124" i="5" s="1"/>
  <c r="J123" i="5"/>
  <c r="H123" i="5"/>
  <c r="G123" i="5"/>
  <c r="E123" i="5"/>
  <c r="F123" i="5" s="1"/>
  <c r="J122" i="5"/>
  <c r="H122" i="5"/>
  <c r="G122" i="5"/>
  <c r="E122" i="5"/>
  <c r="F122" i="5" s="1"/>
  <c r="K121" i="5"/>
  <c r="N121" i="5" s="1"/>
  <c r="J121" i="5"/>
  <c r="H121" i="5"/>
  <c r="G121" i="5"/>
  <c r="F121" i="5"/>
  <c r="E121" i="5"/>
  <c r="J120" i="5"/>
  <c r="H120" i="5"/>
  <c r="G120" i="5"/>
  <c r="E120" i="5"/>
  <c r="F120" i="5" s="1"/>
  <c r="J119" i="5"/>
  <c r="H119" i="5"/>
  <c r="G119" i="5"/>
  <c r="E119" i="5"/>
  <c r="F119" i="5" s="1"/>
  <c r="J118" i="5"/>
  <c r="H118" i="5"/>
  <c r="G118" i="5"/>
  <c r="F118" i="5"/>
  <c r="E118" i="5"/>
  <c r="K117" i="5"/>
  <c r="J117" i="5"/>
  <c r="N117" i="5" s="1"/>
  <c r="H117" i="5"/>
  <c r="K74" i="5" s="1"/>
  <c r="N74" i="5" s="1"/>
  <c r="G117" i="5"/>
  <c r="F117" i="5"/>
  <c r="E117" i="5"/>
  <c r="N116" i="5"/>
  <c r="J116" i="5"/>
  <c r="H116" i="5"/>
  <c r="G116" i="5"/>
  <c r="F116" i="5"/>
  <c r="E116" i="5"/>
  <c r="K115" i="5"/>
  <c r="J115" i="5"/>
  <c r="N115" i="5" s="1"/>
  <c r="H115" i="5"/>
  <c r="G115" i="5"/>
  <c r="E115" i="5"/>
  <c r="F115" i="5" s="1"/>
  <c r="J114" i="5"/>
  <c r="H114" i="5"/>
  <c r="G114" i="5"/>
  <c r="F114" i="5"/>
  <c r="E114" i="5"/>
  <c r="J113" i="5"/>
  <c r="H113" i="5"/>
  <c r="G113" i="5"/>
  <c r="F113" i="5"/>
  <c r="E113" i="5"/>
  <c r="K112" i="5"/>
  <c r="J112" i="5"/>
  <c r="H112" i="5"/>
  <c r="G112" i="5"/>
  <c r="E112" i="5"/>
  <c r="F112" i="5" s="1"/>
  <c r="K111" i="5"/>
  <c r="J111" i="5"/>
  <c r="N111" i="5" s="1"/>
  <c r="H111" i="5"/>
  <c r="G111" i="5"/>
  <c r="E111" i="5"/>
  <c r="F111" i="5" s="1"/>
  <c r="J110" i="5"/>
  <c r="H110" i="5"/>
  <c r="G110" i="5"/>
  <c r="E110" i="5"/>
  <c r="F110" i="5" s="1"/>
  <c r="K109" i="5"/>
  <c r="N109" i="5" s="1"/>
  <c r="J109" i="5"/>
  <c r="H109" i="5"/>
  <c r="G109" i="5"/>
  <c r="E109" i="5"/>
  <c r="F109" i="5" s="1"/>
  <c r="J108" i="5"/>
  <c r="H108" i="5"/>
  <c r="G108" i="5"/>
  <c r="E108" i="5"/>
  <c r="F108" i="5" s="1"/>
  <c r="N107" i="5"/>
  <c r="J107" i="5"/>
  <c r="H107" i="5"/>
  <c r="G107" i="5"/>
  <c r="E107" i="5"/>
  <c r="F107" i="5" s="1"/>
  <c r="K106" i="5"/>
  <c r="J106" i="5"/>
  <c r="N106" i="5" s="1"/>
  <c r="H106" i="5"/>
  <c r="G106" i="5"/>
  <c r="K68" i="5" s="1"/>
  <c r="N68" i="5" s="1"/>
  <c r="E106" i="5"/>
  <c r="F106" i="5" s="1"/>
  <c r="N105" i="5"/>
  <c r="J105" i="5"/>
  <c r="H105" i="5"/>
  <c r="G105" i="5"/>
  <c r="F105" i="5"/>
  <c r="E105" i="5"/>
  <c r="J104" i="5"/>
  <c r="H104" i="5"/>
  <c r="K67" i="5" s="1"/>
  <c r="G104" i="5"/>
  <c r="E104" i="5"/>
  <c r="F104" i="5" s="1"/>
  <c r="N103" i="5"/>
  <c r="J103" i="5"/>
  <c r="H103" i="5"/>
  <c r="G103" i="5"/>
  <c r="E103" i="5"/>
  <c r="F103" i="5" s="1"/>
  <c r="J102" i="5"/>
  <c r="H102" i="5"/>
  <c r="G102" i="5"/>
  <c r="E102" i="5"/>
  <c r="F102" i="5" s="1"/>
  <c r="K101" i="5"/>
  <c r="J101" i="5"/>
  <c r="N101" i="5" s="1"/>
  <c r="H101" i="5"/>
  <c r="G101" i="5"/>
  <c r="E101" i="5"/>
  <c r="F101" i="5" s="1"/>
  <c r="J100" i="5"/>
  <c r="H100" i="5"/>
  <c r="G100" i="5"/>
  <c r="E100" i="5"/>
  <c r="F100" i="5" s="1"/>
  <c r="J99" i="5"/>
  <c r="H99" i="5"/>
  <c r="G99" i="5"/>
  <c r="E99" i="5"/>
  <c r="F99" i="5" s="1"/>
  <c r="J98" i="5"/>
  <c r="H98" i="5"/>
  <c r="G98" i="5"/>
  <c r="E98" i="5"/>
  <c r="F98" i="5" s="1"/>
  <c r="J97" i="5"/>
  <c r="H97" i="5"/>
  <c r="G97" i="5"/>
  <c r="E97" i="5"/>
  <c r="F97" i="5" s="1"/>
  <c r="K96" i="5"/>
  <c r="N96" i="5" s="1"/>
  <c r="J96" i="5"/>
  <c r="H96" i="5"/>
  <c r="G96" i="5"/>
  <c r="E96" i="5"/>
  <c r="F96" i="5" s="1"/>
  <c r="J95" i="5"/>
  <c r="H95" i="5"/>
  <c r="G95" i="5"/>
  <c r="E95" i="5"/>
  <c r="F95" i="5" s="1"/>
  <c r="K94" i="5"/>
  <c r="N94" i="5" s="1"/>
  <c r="J94" i="5"/>
  <c r="H94" i="5"/>
  <c r="G94" i="5"/>
  <c r="E94" i="5"/>
  <c r="F94" i="5" s="1"/>
  <c r="K93" i="5"/>
  <c r="J93" i="5"/>
  <c r="N93" i="5" s="1"/>
  <c r="H93" i="5"/>
  <c r="G93" i="5"/>
  <c r="K60" i="5" s="1"/>
  <c r="E93" i="5"/>
  <c r="F93" i="5" s="1"/>
  <c r="N92" i="5"/>
  <c r="K92" i="5"/>
  <c r="J92" i="5"/>
  <c r="H92" i="5"/>
  <c r="G92" i="5"/>
  <c r="E92" i="5"/>
  <c r="F92" i="5" s="1"/>
  <c r="J91" i="5"/>
  <c r="H91" i="5"/>
  <c r="K58" i="5" s="1"/>
  <c r="G91" i="5"/>
  <c r="E91" i="5"/>
  <c r="F91" i="5" s="1"/>
  <c r="J90" i="5"/>
  <c r="H90" i="5"/>
  <c r="G90" i="5"/>
  <c r="K57" i="5" s="1"/>
  <c r="F90" i="5"/>
  <c r="E90" i="5"/>
  <c r="N89" i="5"/>
  <c r="K89" i="5"/>
  <c r="J89" i="5"/>
  <c r="H89" i="5"/>
  <c r="G89" i="5"/>
  <c r="E89" i="5"/>
  <c r="F89" i="5" s="1"/>
  <c r="J88" i="5"/>
  <c r="H88" i="5"/>
  <c r="G88" i="5"/>
  <c r="K56" i="5" s="1"/>
  <c r="F88" i="5"/>
  <c r="E88" i="5"/>
  <c r="N87" i="5"/>
  <c r="J87" i="5"/>
  <c r="H87" i="5"/>
  <c r="K55" i="5" s="1"/>
  <c r="G87" i="5"/>
  <c r="F87" i="5"/>
  <c r="E87" i="5"/>
  <c r="J86" i="5"/>
  <c r="H86" i="5"/>
  <c r="G86" i="5"/>
  <c r="F86" i="5"/>
  <c r="E86" i="5"/>
  <c r="K85" i="5"/>
  <c r="J85" i="5"/>
  <c r="N85" i="5" s="1"/>
  <c r="H85" i="5"/>
  <c r="G85" i="5"/>
  <c r="F85" i="5"/>
  <c r="E85" i="5"/>
  <c r="J84" i="5"/>
  <c r="H84" i="5"/>
  <c r="G84" i="5"/>
  <c r="E84" i="5"/>
  <c r="F84" i="5" s="1"/>
  <c r="J83" i="5"/>
  <c r="H83" i="5"/>
  <c r="G83" i="5"/>
  <c r="K52" i="5" s="1"/>
  <c r="E83" i="5"/>
  <c r="F83" i="5" s="1"/>
  <c r="J82" i="5"/>
  <c r="H82" i="5"/>
  <c r="G82" i="5"/>
  <c r="E82" i="5"/>
  <c r="F82" i="5" s="1"/>
  <c r="J81" i="5"/>
  <c r="H81" i="5"/>
  <c r="G81" i="5"/>
  <c r="E81" i="5"/>
  <c r="F81" i="5" s="1"/>
  <c r="K80" i="5"/>
  <c r="J80" i="5"/>
  <c r="H80" i="5"/>
  <c r="G80" i="5"/>
  <c r="E80" i="5"/>
  <c r="F80" i="5" s="1"/>
  <c r="K79" i="5"/>
  <c r="J79" i="5"/>
  <c r="N79" i="5" s="1"/>
  <c r="H79" i="5"/>
  <c r="G79" i="5"/>
  <c r="E79" i="5"/>
  <c r="F79" i="5" s="1"/>
  <c r="K78" i="5"/>
  <c r="J78" i="5"/>
  <c r="H78" i="5"/>
  <c r="G78" i="5"/>
  <c r="E78" i="5"/>
  <c r="F78" i="5" s="1"/>
  <c r="K77" i="5"/>
  <c r="J77" i="5"/>
  <c r="N77" i="5" s="1"/>
  <c r="H77" i="5"/>
  <c r="G77" i="5"/>
  <c r="K47" i="5" s="1"/>
  <c r="F77" i="5"/>
  <c r="E77" i="5"/>
  <c r="J76" i="5"/>
  <c r="H76" i="5"/>
  <c r="G76" i="5"/>
  <c r="F76" i="5"/>
  <c r="E76" i="5"/>
  <c r="J75" i="5"/>
  <c r="H75" i="5"/>
  <c r="G75" i="5"/>
  <c r="E75" i="5"/>
  <c r="F75" i="5" s="1"/>
  <c r="J74" i="5"/>
  <c r="H74" i="5"/>
  <c r="G74" i="5"/>
  <c r="E74" i="5"/>
  <c r="F74" i="5" s="1"/>
  <c r="N73" i="5"/>
  <c r="K73" i="5"/>
  <c r="J73" i="5"/>
  <c r="H73" i="5"/>
  <c r="G73" i="5"/>
  <c r="E73" i="5"/>
  <c r="F73" i="5" s="1"/>
  <c r="K72" i="5"/>
  <c r="J72" i="5"/>
  <c r="H72" i="5"/>
  <c r="G72" i="5"/>
  <c r="E72" i="5"/>
  <c r="F72" i="5" s="1"/>
  <c r="K71" i="5"/>
  <c r="J71" i="5"/>
  <c r="N71" i="5" s="1"/>
  <c r="H71" i="5"/>
  <c r="G71" i="5"/>
  <c r="F71" i="5"/>
  <c r="E71" i="5"/>
  <c r="J70" i="5"/>
  <c r="H70" i="5"/>
  <c r="G70" i="5"/>
  <c r="E70" i="5"/>
  <c r="F70" i="5" s="1"/>
  <c r="K69" i="5"/>
  <c r="J69" i="5"/>
  <c r="N69" i="5" s="1"/>
  <c r="H69" i="5"/>
  <c r="G69" i="5"/>
  <c r="K44" i="5" s="1"/>
  <c r="F69" i="5"/>
  <c r="E69" i="5"/>
  <c r="J68" i="5"/>
  <c r="H68" i="5"/>
  <c r="G68" i="5"/>
  <c r="E68" i="5"/>
  <c r="F68" i="5" s="1"/>
  <c r="J67" i="5"/>
  <c r="H67" i="5"/>
  <c r="G67" i="5"/>
  <c r="E67" i="5"/>
  <c r="F67" i="5" s="1"/>
  <c r="K66" i="5"/>
  <c r="J66" i="5"/>
  <c r="N66" i="5" s="1"/>
  <c r="H66" i="5"/>
  <c r="G66" i="5"/>
  <c r="E66" i="5"/>
  <c r="F66" i="5" s="1"/>
  <c r="K65" i="5"/>
  <c r="N65" i="5" s="1"/>
  <c r="J65" i="5"/>
  <c r="H65" i="5"/>
  <c r="G65" i="5"/>
  <c r="E65" i="5"/>
  <c r="F65" i="5" s="1"/>
  <c r="K64" i="5"/>
  <c r="J64" i="5"/>
  <c r="H64" i="5"/>
  <c r="G64" i="5"/>
  <c r="E64" i="5"/>
  <c r="F64" i="5" s="1"/>
  <c r="K63" i="5"/>
  <c r="J63" i="5"/>
  <c r="N63" i="5" s="1"/>
  <c r="H63" i="5"/>
  <c r="G63" i="5"/>
  <c r="E63" i="5"/>
  <c r="F63" i="5" s="1"/>
  <c r="J62" i="5"/>
  <c r="H62" i="5"/>
  <c r="G62" i="5"/>
  <c r="E62" i="5"/>
  <c r="F62" i="5" s="1"/>
  <c r="N61" i="5"/>
  <c r="K61" i="5"/>
  <c r="J61" i="5"/>
  <c r="H61" i="5"/>
  <c r="G61" i="5"/>
  <c r="E61" i="5"/>
  <c r="F61" i="5" s="1"/>
  <c r="N60" i="5"/>
  <c r="J60" i="5"/>
  <c r="H60" i="5"/>
  <c r="G60" i="5"/>
  <c r="K41" i="5" s="1"/>
  <c r="F60" i="5"/>
  <c r="E60" i="5"/>
  <c r="J59" i="5"/>
  <c r="H59" i="5"/>
  <c r="G59" i="5"/>
  <c r="E59" i="5"/>
  <c r="F59" i="5" s="1"/>
  <c r="N58" i="5"/>
  <c r="J58" i="5"/>
  <c r="H58" i="5"/>
  <c r="G58" i="5"/>
  <c r="F58" i="5"/>
  <c r="E58" i="5"/>
  <c r="N57" i="5"/>
  <c r="J57" i="5"/>
  <c r="H57" i="5"/>
  <c r="G57" i="5"/>
  <c r="E57" i="5"/>
  <c r="F57" i="5" s="1"/>
  <c r="J56" i="5"/>
  <c r="H56" i="5"/>
  <c r="G56" i="5"/>
  <c r="E56" i="5"/>
  <c r="F56" i="5" s="1"/>
  <c r="N55" i="5"/>
  <c r="J55" i="5"/>
  <c r="H55" i="5"/>
  <c r="G55" i="5"/>
  <c r="F55" i="5"/>
  <c r="E55" i="5"/>
  <c r="J54" i="5"/>
  <c r="H54" i="5"/>
  <c r="G54" i="5"/>
  <c r="K38" i="5" s="1"/>
  <c r="E54" i="5"/>
  <c r="F54" i="5" s="1"/>
  <c r="K53" i="5"/>
  <c r="J53" i="5"/>
  <c r="H53" i="5"/>
  <c r="G53" i="5"/>
  <c r="F53" i="5"/>
  <c r="E53" i="5"/>
  <c r="J52" i="5"/>
  <c r="N52" i="5" s="1"/>
  <c r="H52" i="5"/>
  <c r="G52" i="5"/>
  <c r="K9" i="5" s="1"/>
  <c r="E52" i="5"/>
  <c r="F52" i="5" s="1"/>
  <c r="J51" i="5"/>
  <c r="H51" i="5"/>
  <c r="G51" i="5"/>
  <c r="K31" i="5" s="1"/>
  <c r="F51" i="5"/>
  <c r="E51" i="5"/>
  <c r="K50" i="5"/>
  <c r="N50" i="5" s="1"/>
  <c r="J50" i="5"/>
  <c r="H50" i="5"/>
  <c r="G50" i="5"/>
  <c r="F50" i="5"/>
  <c r="E50" i="5"/>
  <c r="K49" i="5"/>
  <c r="J49" i="5"/>
  <c r="N49" i="5" s="1"/>
  <c r="H49" i="5"/>
  <c r="G49" i="5"/>
  <c r="F49" i="5"/>
  <c r="E49" i="5"/>
  <c r="J48" i="5"/>
  <c r="H48" i="5"/>
  <c r="G48" i="5"/>
  <c r="E48" i="5"/>
  <c r="F48" i="5" s="1"/>
  <c r="J47" i="5"/>
  <c r="H47" i="5"/>
  <c r="G47" i="5"/>
  <c r="E47" i="5"/>
  <c r="F47" i="5" s="1"/>
  <c r="N46" i="5"/>
  <c r="K46" i="5"/>
  <c r="J46" i="5"/>
  <c r="H46" i="5"/>
  <c r="G46" i="5"/>
  <c r="E46" i="5"/>
  <c r="F46" i="5" s="1"/>
  <c r="J45" i="5"/>
  <c r="H45" i="5"/>
  <c r="G45" i="5"/>
  <c r="F45" i="5"/>
  <c r="E45" i="5"/>
  <c r="J44" i="5"/>
  <c r="H44" i="5"/>
  <c r="G44" i="5"/>
  <c r="F44" i="5"/>
  <c r="E44" i="5"/>
  <c r="J43" i="5"/>
  <c r="H43" i="5"/>
  <c r="G43" i="5"/>
  <c r="E43" i="5"/>
  <c r="F43" i="5" s="1"/>
  <c r="J42" i="5"/>
  <c r="H42" i="5"/>
  <c r="G42" i="5"/>
  <c r="F42" i="5"/>
  <c r="E42" i="5"/>
  <c r="N41" i="5"/>
  <c r="J41" i="5"/>
  <c r="H41" i="5"/>
  <c r="G41" i="5"/>
  <c r="F41" i="5"/>
  <c r="E41" i="5"/>
  <c r="J40" i="5"/>
  <c r="H40" i="5"/>
  <c r="G40" i="5"/>
  <c r="K29" i="5" s="1"/>
  <c r="N29" i="5" s="1"/>
  <c r="E40" i="5"/>
  <c r="F40" i="5" s="1"/>
  <c r="J39" i="5"/>
  <c r="N39" i="5" s="1"/>
  <c r="H39" i="5"/>
  <c r="G39" i="5"/>
  <c r="F39" i="5"/>
  <c r="E39" i="5"/>
  <c r="J38" i="5"/>
  <c r="H38" i="5"/>
  <c r="G38" i="5"/>
  <c r="K28" i="5" s="1"/>
  <c r="N28" i="5" s="1"/>
  <c r="F38" i="5"/>
  <c r="E38" i="5"/>
  <c r="N37" i="5"/>
  <c r="K37" i="5"/>
  <c r="J37" i="5"/>
  <c r="H37" i="5"/>
  <c r="G37" i="5"/>
  <c r="K27" i="5" s="1"/>
  <c r="N27" i="5" s="1"/>
  <c r="E37" i="5"/>
  <c r="F37" i="5" s="1"/>
  <c r="J36" i="5"/>
  <c r="H36" i="5"/>
  <c r="G36" i="5"/>
  <c r="K26" i="5" s="1"/>
  <c r="E36" i="5"/>
  <c r="F36" i="5" s="1"/>
  <c r="K35" i="5"/>
  <c r="N35" i="5" s="1"/>
  <c r="J35" i="5"/>
  <c r="H35" i="5"/>
  <c r="G35" i="5"/>
  <c r="E35" i="5"/>
  <c r="F35" i="5" s="1"/>
  <c r="K34" i="5"/>
  <c r="J34" i="5"/>
  <c r="H34" i="5"/>
  <c r="G34" i="5"/>
  <c r="K24" i="5" s="1"/>
  <c r="F34" i="5"/>
  <c r="E34" i="5"/>
  <c r="K33" i="5"/>
  <c r="N33" i="5" s="1"/>
  <c r="J33" i="5"/>
  <c r="H33" i="5"/>
  <c r="G33" i="5"/>
  <c r="E33" i="5"/>
  <c r="F33" i="5" s="1"/>
  <c r="N32" i="5"/>
  <c r="K32" i="5"/>
  <c r="J32" i="5"/>
  <c r="H32" i="5"/>
  <c r="G32" i="5"/>
  <c r="E32" i="5"/>
  <c r="F32" i="5" s="1"/>
  <c r="J31" i="5"/>
  <c r="H31" i="5"/>
  <c r="G31" i="5"/>
  <c r="K22" i="5" s="1"/>
  <c r="E31" i="5"/>
  <c r="F31" i="5" s="1"/>
  <c r="K30" i="5"/>
  <c r="J30" i="5"/>
  <c r="N30" i="5" s="1"/>
  <c r="H30" i="5"/>
  <c r="G30" i="5"/>
  <c r="E30" i="5"/>
  <c r="F30" i="5" s="1"/>
  <c r="J29" i="5"/>
  <c r="H29" i="5"/>
  <c r="G29" i="5"/>
  <c r="K21" i="5" s="1"/>
  <c r="F29" i="5"/>
  <c r="E29" i="5"/>
  <c r="J28" i="5"/>
  <c r="H28" i="5"/>
  <c r="G28" i="5"/>
  <c r="E28" i="5"/>
  <c r="F28" i="5" s="1"/>
  <c r="J27" i="5"/>
  <c r="H27" i="5"/>
  <c r="G27" i="5"/>
  <c r="F27" i="5"/>
  <c r="E27" i="5"/>
  <c r="J26" i="5"/>
  <c r="N26" i="5" s="1"/>
  <c r="H26" i="5"/>
  <c r="G26" i="5"/>
  <c r="K5" i="5" s="1"/>
  <c r="F26" i="5"/>
  <c r="E26" i="5"/>
  <c r="K25" i="5"/>
  <c r="J25" i="5"/>
  <c r="N25" i="5" s="1"/>
  <c r="H25" i="5"/>
  <c r="G25" i="5"/>
  <c r="F25" i="5"/>
  <c r="E25" i="5"/>
  <c r="N24" i="5"/>
  <c r="J24" i="5"/>
  <c r="H24" i="5"/>
  <c r="G24" i="5"/>
  <c r="E24" i="5"/>
  <c r="F24" i="5" s="1"/>
  <c r="K23" i="5"/>
  <c r="J23" i="5"/>
  <c r="N23" i="5" s="1"/>
  <c r="H23" i="5"/>
  <c r="G23" i="5"/>
  <c r="F23" i="5"/>
  <c r="E23" i="5"/>
  <c r="J22" i="5"/>
  <c r="H22" i="5"/>
  <c r="G22" i="5"/>
  <c r="E22" i="5"/>
  <c r="F22" i="5" s="1"/>
  <c r="J21" i="5"/>
  <c r="H21" i="5"/>
  <c r="G21" i="5"/>
  <c r="E21" i="5"/>
  <c r="F21" i="5" s="1"/>
  <c r="K20" i="5"/>
  <c r="J20" i="5"/>
  <c r="N20" i="5" s="1"/>
  <c r="H20" i="5"/>
  <c r="G20" i="5"/>
  <c r="F20" i="5"/>
  <c r="E20" i="5"/>
  <c r="K19" i="5"/>
  <c r="N19" i="5" s="1"/>
  <c r="J19" i="5"/>
  <c r="H19" i="5"/>
  <c r="G19" i="5"/>
  <c r="E19" i="5"/>
  <c r="F19" i="5" s="1"/>
  <c r="K18" i="5"/>
  <c r="N18" i="5" s="1"/>
  <c r="J18" i="5"/>
  <c r="H18" i="5"/>
  <c r="G18" i="5"/>
  <c r="F18" i="5"/>
  <c r="E18" i="5"/>
  <c r="J17" i="5"/>
  <c r="H17" i="5"/>
  <c r="G17" i="5"/>
  <c r="E17" i="5"/>
  <c r="F17" i="5" s="1"/>
  <c r="K16" i="5"/>
  <c r="J16" i="5"/>
  <c r="N16" i="5" s="1"/>
  <c r="H16" i="5"/>
  <c r="G16" i="5"/>
  <c r="E16" i="5"/>
  <c r="F16" i="5" s="1"/>
  <c r="K15" i="5"/>
  <c r="J15" i="5"/>
  <c r="N15" i="5" s="1"/>
  <c r="H15" i="5"/>
  <c r="G15" i="5"/>
  <c r="E15" i="5"/>
  <c r="F15" i="5" s="1"/>
  <c r="K14" i="5"/>
  <c r="N14" i="5" s="1"/>
  <c r="J14" i="5"/>
  <c r="H14" i="5"/>
  <c r="G14" i="5"/>
  <c r="K12" i="5" s="1"/>
  <c r="F14" i="5"/>
  <c r="E14" i="5"/>
  <c r="K13" i="5"/>
  <c r="J13" i="5"/>
  <c r="N13" i="5" s="1"/>
  <c r="H13" i="5"/>
  <c r="G13" i="5"/>
  <c r="F13" i="5"/>
  <c r="E13" i="5"/>
  <c r="J12" i="5"/>
  <c r="H12" i="5"/>
  <c r="G12" i="5"/>
  <c r="K10" i="5" s="1"/>
  <c r="F12" i="5"/>
  <c r="E12" i="5"/>
  <c r="K11" i="5"/>
  <c r="J11" i="5"/>
  <c r="H11" i="5"/>
  <c r="G11" i="5"/>
  <c r="F11" i="5"/>
  <c r="E11" i="5"/>
  <c r="J10" i="5"/>
  <c r="H10" i="5"/>
  <c r="G10" i="5"/>
  <c r="K4" i="5" s="1"/>
  <c r="N4" i="5" s="1"/>
  <c r="E10" i="5"/>
  <c r="F10" i="5" s="1"/>
  <c r="N9" i="5"/>
  <c r="J9" i="5"/>
  <c r="H9" i="5"/>
  <c r="G9" i="5"/>
  <c r="F9" i="5"/>
  <c r="E9" i="5"/>
  <c r="N8" i="5"/>
  <c r="K8" i="5"/>
  <c r="J8" i="5"/>
  <c r="H8" i="5"/>
  <c r="G8" i="5"/>
  <c r="E8" i="5"/>
  <c r="F8" i="5" s="1"/>
  <c r="J7" i="5"/>
  <c r="N7" i="5" s="1"/>
  <c r="H7" i="5"/>
  <c r="G7" i="5"/>
  <c r="K7" i="5" s="1"/>
  <c r="E7" i="5"/>
  <c r="F7" i="5" s="1"/>
  <c r="J6" i="5"/>
  <c r="H6" i="5"/>
  <c r="K6" i="5" s="1"/>
  <c r="N6" i="5" s="1"/>
  <c r="G6" i="5"/>
  <c r="E6" i="5"/>
  <c r="F6" i="5" s="1"/>
  <c r="J5" i="5"/>
  <c r="H5" i="5"/>
  <c r="G5" i="5"/>
  <c r="E5" i="5"/>
  <c r="F5" i="5" s="1"/>
  <c r="J4" i="5"/>
  <c r="H4" i="5"/>
  <c r="G4" i="5"/>
  <c r="E4" i="5"/>
  <c r="F4" i="5" s="1"/>
  <c r="N3" i="5"/>
  <c r="J3" i="5"/>
  <c r="H3" i="5"/>
  <c r="G3" i="5"/>
  <c r="K3" i="5" s="1"/>
  <c r="E3" i="5"/>
  <c r="F3" i="5" s="1"/>
  <c r="Z2" i="5"/>
  <c r="J2" i="5"/>
  <c r="H2" i="5"/>
  <c r="G2" i="5"/>
  <c r="K2" i="5" s="1"/>
  <c r="N2" i="5" s="1"/>
  <c r="F2" i="5"/>
  <c r="E2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" i="4"/>
  <c r="F2" i="4"/>
  <c r="E1" i="4"/>
  <c r="D1" i="4"/>
  <c r="C1" i="4"/>
  <c r="B1" i="4"/>
  <c r="A1" i="4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3" i="1"/>
  <c r="G2" i="1"/>
  <c r="J167" i="1"/>
  <c r="B139" i="3" s="1"/>
  <c r="J166" i="1"/>
  <c r="B138" i="3" s="1"/>
  <c r="J165" i="1"/>
  <c r="B137" i="3" s="1"/>
  <c r="J164" i="1"/>
  <c r="B136" i="3" s="1"/>
  <c r="J163" i="1"/>
  <c r="B135" i="3" s="1"/>
  <c r="J162" i="1"/>
  <c r="B134" i="3" s="1"/>
  <c r="J161" i="1"/>
  <c r="B133" i="3" s="1"/>
  <c r="J160" i="1"/>
  <c r="B132" i="3" s="1"/>
  <c r="J159" i="1"/>
  <c r="B131" i="3" s="1"/>
  <c r="J158" i="1"/>
  <c r="B130" i="3" s="1"/>
  <c r="J157" i="1"/>
  <c r="B129" i="3" s="1"/>
  <c r="J156" i="1"/>
  <c r="B128" i="3" s="1"/>
  <c r="J155" i="1"/>
  <c r="B127" i="3" s="1"/>
  <c r="J154" i="1"/>
  <c r="B126" i="3" s="1"/>
  <c r="J153" i="1"/>
  <c r="B125" i="3" s="1"/>
  <c r="J152" i="1"/>
  <c r="B124" i="3" s="1"/>
  <c r="J151" i="1"/>
  <c r="B123" i="3" s="1"/>
  <c r="J150" i="1"/>
  <c r="B122" i="3" s="1"/>
  <c r="J149" i="1"/>
  <c r="B121" i="3" s="1"/>
  <c r="J148" i="1"/>
  <c r="B120" i="3" s="1"/>
  <c r="J147" i="1"/>
  <c r="B119" i="3" s="1"/>
  <c r="J146" i="1"/>
  <c r="B118" i="3" s="1"/>
  <c r="J145" i="1"/>
  <c r="B117" i="3" s="1"/>
  <c r="J144" i="1"/>
  <c r="B116" i="3" s="1"/>
  <c r="J143" i="1"/>
  <c r="B115" i="3" s="1"/>
  <c r="J142" i="1"/>
  <c r="B114" i="3" s="1"/>
  <c r="J141" i="1"/>
  <c r="B113" i="3" s="1"/>
  <c r="J140" i="1"/>
  <c r="B112" i="3" s="1"/>
  <c r="J139" i="1"/>
  <c r="B111" i="3" s="1"/>
  <c r="J138" i="1"/>
  <c r="B110" i="3" s="1"/>
  <c r="J137" i="1"/>
  <c r="B109" i="3" s="1"/>
  <c r="J136" i="1"/>
  <c r="B108" i="3" s="1"/>
  <c r="J135" i="1"/>
  <c r="B107" i="3" s="1"/>
  <c r="J134" i="1"/>
  <c r="B106" i="3" s="1"/>
  <c r="J133" i="1"/>
  <c r="B105" i="3" s="1"/>
  <c r="J132" i="1"/>
  <c r="B104" i="3" s="1"/>
  <c r="J131" i="1"/>
  <c r="B103" i="3" s="1"/>
  <c r="J130" i="1"/>
  <c r="B102" i="3" s="1"/>
  <c r="J129" i="1"/>
  <c r="B101" i="3" s="1"/>
  <c r="J128" i="1"/>
  <c r="B100" i="3" s="1"/>
  <c r="J127" i="1"/>
  <c r="B99" i="3" s="1"/>
  <c r="J126" i="1"/>
  <c r="B98" i="3" s="1"/>
  <c r="J125" i="1"/>
  <c r="B97" i="3" s="1"/>
  <c r="J124" i="1"/>
  <c r="B96" i="3" s="1"/>
  <c r="J123" i="1"/>
  <c r="B95" i="3" s="1"/>
  <c r="J122" i="1"/>
  <c r="B94" i="3" s="1"/>
  <c r="J121" i="1"/>
  <c r="B93" i="3" s="1"/>
  <c r="J120" i="1"/>
  <c r="B92" i="3" s="1"/>
  <c r="J119" i="1"/>
  <c r="B91" i="3" s="1"/>
  <c r="J118" i="1"/>
  <c r="B90" i="3" s="1"/>
  <c r="J117" i="1"/>
  <c r="B89" i="3" s="1"/>
  <c r="J116" i="1"/>
  <c r="B88" i="3" s="1"/>
  <c r="J115" i="1"/>
  <c r="B87" i="3" s="1"/>
  <c r="J114" i="1"/>
  <c r="B86" i="3" s="1"/>
  <c r="J113" i="1"/>
  <c r="B85" i="3" s="1"/>
  <c r="J112" i="1"/>
  <c r="B84" i="3" s="1"/>
  <c r="J111" i="1"/>
  <c r="B83" i="3" s="1"/>
  <c r="J110" i="1"/>
  <c r="B82" i="3" s="1"/>
  <c r="J109" i="1"/>
  <c r="B81" i="3" s="1"/>
  <c r="J108" i="1"/>
  <c r="B80" i="3" s="1"/>
  <c r="J107" i="1"/>
  <c r="B79" i="3" s="1"/>
  <c r="J106" i="1"/>
  <c r="B78" i="3" s="1"/>
  <c r="J105" i="1"/>
  <c r="B77" i="3" s="1"/>
  <c r="J104" i="1"/>
  <c r="B76" i="3" s="1"/>
  <c r="J103" i="1"/>
  <c r="B75" i="3" s="1"/>
  <c r="J102" i="1"/>
  <c r="B74" i="3" s="1"/>
  <c r="J101" i="1"/>
  <c r="B73" i="3" s="1"/>
  <c r="J100" i="1"/>
  <c r="B72" i="3" s="1"/>
  <c r="J99" i="1"/>
  <c r="B71" i="3" s="1"/>
  <c r="J98" i="1"/>
  <c r="B70" i="3" s="1"/>
  <c r="J97" i="1"/>
  <c r="B69" i="3" s="1"/>
  <c r="J96" i="1"/>
  <c r="B68" i="3" s="1"/>
  <c r="J95" i="1"/>
  <c r="B67" i="3" s="1"/>
  <c r="J94" i="1"/>
  <c r="B66" i="3" s="1"/>
  <c r="J93" i="1"/>
  <c r="B65" i="3" s="1"/>
  <c r="J92" i="1"/>
  <c r="B64" i="3" s="1"/>
  <c r="J91" i="1"/>
  <c r="B63" i="3" s="1"/>
  <c r="J90" i="1"/>
  <c r="B62" i="3" s="1"/>
  <c r="J89" i="1"/>
  <c r="B61" i="3" s="1"/>
  <c r="J88" i="1"/>
  <c r="B60" i="3" s="1"/>
  <c r="J87" i="1"/>
  <c r="B59" i="3" s="1"/>
  <c r="J86" i="1"/>
  <c r="B58" i="3" s="1"/>
  <c r="J85" i="1"/>
  <c r="B57" i="3" s="1"/>
  <c r="J84" i="1"/>
  <c r="B56" i="3" s="1"/>
  <c r="J83" i="1"/>
  <c r="B55" i="3" s="1"/>
  <c r="J82" i="1"/>
  <c r="B54" i="3" s="1"/>
  <c r="J81" i="1"/>
  <c r="B53" i="3" s="1"/>
  <c r="J80" i="1"/>
  <c r="B52" i="3" s="1"/>
  <c r="J79" i="1"/>
  <c r="B51" i="3" s="1"/>
  <c r="J78" i="1"/>
  <c r="B50" i="3" s="1"/>
  <c r="J77" i="1"/>
  <c r="B49" i="3" s="1"/>
  <c r="J76" i="1"/>
  <c r="B48" i="3" s="1"/>
  <c r="J75" i="1"/>
  <c r="B47" i="3" s="1"/>
  <c r="J74" i="1"/>
  <c r="B46" i="3" s="1"/>
  <c r="J73" i="1"/>
  <c r="B45" i="3" s="1"/>
  <c r="J72" i="1"/>
  <c r="B44" i="3" s="1"/>
  <c r="J71" i="1"/>
  <c r="B43" i="3" s="1"/>
  <c r="J70" i="1"/>
  <c r="B42" i="3" s="1"/>
  <c r="J69" i="1"/>
  <c r="B41" i="3" s="1"/>
  <c r="J68" i="1"/>
  <c r="B40" i="3" s="1"/>
  <c r="J67" i="1"/>
  <c r="B39" i="3" s="1"/>
  <c r="J66" i="1"/>
  <c r="B38" i="3" s="1"/>
  <c r="J65" i="1"/>
  <c r="B37" i="3" s="1"/>
  <c r="J64" i="1"/>
  <c r="B36" i="3" s="1"/>
  <c r="J63" i="1"/>
  <c r="B35" i="3" s="1"/>
  <c r="J62" i="1"/>
  <c r="B34" i="3" s="1"/>
  <c r="J61" i="1"/>
  <c r="B33" i="3" s="1"/>
  <c r="J60" i="1"/>
  <c r="B32" i="3" s="1"/>
  <c r="J59" i="1"/>
  <c r="B31" i="3" s="1"/>
  <c r="J58" i="1"/>
  <c r="B30" i="3" s="1"/>
  <c r="J57" i="1"/>
  <c r="B29" i="3" s="1"/>
  <c r="J56" i="1"/>
  <c r="B28" i="3" s="1"/>
  <c r="J55" i="1"/>
  <c r="B27" i="3" s="1"/>
  <c r="J54" i="1"/>
  <c r="B26" i="3" s="1"/>
  <c r="J53" i="1"/>
  <c r="B25" i="3" s="1"/>
  <c r="J52" i="1"/>
  <c r="B24" i="3" s="1"/>
  <c r="J51" i="1"/>
  <c r="B23" i="3" s="1"/>
  <c r="J50" i="1"/>
  <c r="B22" i="3" s="1"/>
  <c r="J49" i="1"/>
  <c r="B21" i="3" s="1"/>
  <c r="J48" i="1"/>
  <c r="B20" i="3" s="1"/>
  <c r="J47" i="1"/>
  <c r="B19" i="3" s="1"/>
  <c r="J46" i="1"/>
  <c r="B18" i="3" s="1"/>
  <c r="J45" i="1"/>
  <c r="B17" i="3" s="1"/>
  <c r="J44" i="1"/>
  <c r="B16" i="3" s="1"/>
  <c r="J43" i="1"/>
  <c r="B15" i="3" s="1"/>
  <c r="J42" i="1"/>
  <c r="B14" i="3" s="1"/>
  <c r="J41" i="1"/>
  <c r="B13" i="3" s="1"/>
  <c r="J40" i="1"/>
  <c r="B12" i="3" s="1"/>
  <c r="J39" i="1"/>
  <c r="B11" i="3" s="1"/>
  <c r="J38" i="1"/>
  <c r="B10" i="3" s="1"/>
  <c r="J37" i="1"/>
  <c r="B9" i="3" s="1"/>
  <c r="J36" i="1"/>
  <c r="B8" i="3" s="1"/>
  <c r="J35" i="1"/>
  <c r="B7" i="3" s="1"/>
  <c r="J34" i="1"/>
  <c r="B6" i="3" s="1"/>
  <c r="J33" i="1"/>
  <c r="B5" i="3" s="1"/>
  <c r="J32" i="1"/>
  <c r="B4" i="3" s="1"/>
  <c r="J31" i="1"/>
  <c r="B3" i="3" s="1"/>
  <c r="J30" i="1"/>
  <c r="B2" i="3" s="1"/>
  <c r="J29" i="1"/>
  <c r="J28" i="1"/>
  <c r="J27" i="1"/>
  <c r="J26" i="1"/>
  <c r="J25" i="1"/>
  <c r="J24" i="1"/>
  <c r="J23" i="1"/>
  <c r="J22" i="1"/>
  <c r="J21" i="1"/>
  <c r="J20" i="1"/>
  <c r="J19" i="1"/>
  <c r="J18" i="1"/>
  <c r="B18" i="7" s="1"/>
  <c r="J17" i="1"/>
  <c r="B17" i="7" s="1"/>
  <c r="J16" i="1"/>
  <c r="B16" i="7" s="1"/>
  <c r="J15" i="1"/>
  <c r="B15" i="7" s="1"/>
  <c r="J14" i="1"/>
  <c r="B14" i="7" s="1"/>
  <c r="J13" i="1"/>
  <c r="B13" i="7" s="1"/>
  <c r="J12" i="1"/>
  <c r="B12" i="7" s="1"/>
  <c r="J11" i="1"/>
  <c r="B11" i="7" s="1"/>
  <c r="J10" i="1"/>
  <c r="B10" i="7" s="1"/>
  <c r="J9" i="1"/>
  <c r="B9" i="7" s="1"/>
  <c r="J8" i="1"/>
  <c r="B8" i="7" s="1"/>
  <c r="J7" i="1"/>
  <c r="B7" i="7" s="1"/>
  <c r="J6" i="1"/>
  <c r="B6" i="7" s="1"/>
  <c r="J5" i="1"/>
  <c r="B5" i="7" s="1"/>
  <c r="J4" i="1"/>
  <c r="B4" i="7" s="1"/>
  <c r="J3" i="1"/>
  <c r="B3" i="7" s="1"/>
  <c r="J2" i="1"/>
  <c r="E501" i="1"/>
  <c r="F501" i="1" s="1"/>
  <c r="E500" i="1"/>
  <c r="F500" i="1" s="1"/>
  <c r="E499" i="1"/>
  <c r="F499" i="1" s="1"/>
  <c r="E498" i="1"/>
  <c r="F498" i="1" s="1"/>
  <c r="E497" i="1"/>
  <c r="F497" i="1" s="1"/>
  <c r="E496" i="1"/>
  <c r="F496" i="1" s="1"/>
  <c r="E495" i="1"/>
  <c r="F495" i="1" s="1"/>
  <c r="E494" i="1"/>
  <c r="F494" i="1" s="1"/>
  <c r="E493" i="1"/>
  <c r="F493" i="1" s="1"/>
  <c r="E492" i="1"/>
  <c r="F492" i="1" s="1"/>
  <c r="E491" i="1"/>
  <c r="F491" i="1" s="1"/>
  <c r="E490" i="1"/>
  <c r="F490" i="1" s="1"/>
  <c r="E489" i="1"/>
  <c r="F489" i="1" s="1"/>
  <c r="E488" i="1"/>
  <c r="F488" i="1" s="1"/>
  <c r="E487" i="1"/>
  <c r="F487" i="1" s="1"/>
  <c r="E486" i="1"/>
  <c r="F486" i="1" s="1"/>
  <c r="E485" i="1"/>
  <c r="F485" i="1" s="1"/>
  <c r="E484" i="1"/>
  <c r="F484" i="1" s="1"/>
  <c r="E483" i="1"/>
  <c r="F483" i="1" s="1"/>
  <c r="E482" i="1"/>
  <c r="F482" i="1" s="1"/>
  <c r="E481" i="1"/>
  <c r="F481" i="1" s="1"/>
  <c r="E480" i="1"/>
  <c r="F480" i="1" s="1"/>
  <c r="E479" i="1"/>
  <c r="F479" i="1" s="1"/>
  <c r="E478" i="1"/>
  <c r="F478" i="1" s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E423" i="1"/>
  <c r="F423" i="1" s="1"/>
  <c r="E422" i="1"/>
  <c r="F422" i="1" s="1"/>
  <c r="E421" i="1"/>
  <c r="F421" i="1" s="1"/>
  <c r="E420" i="1"/>
  <c r="F420" i="1" s="1"/>
  <c r="E419" i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B2" i="4" l="1"/>
  <c r="B2" i="7"/>
  <c r="B11" i="4"/>
  <c r="G1" i="1"/>
  <c r="H1" i="1"/>
  <c r="Q35" i="1"/>
  <c r="U132" i="1"/>
  <c r="V17" i="1"/>
  <c r="R38" i="1"/>
  <c r="S57" i="1"/>
  <c r="Q77" i="1"/>
  <c r="T98" i="1"/>
  <c r="U130" i="1"/>
  <c r="S159" i="1"/>
  <c r="U17" i="1"/>
  <c r="R57" i="1"/>
  <c r="R159" i="1"/>
  <c r="B30" i="4"/>
  <c r="Q18" i="1"/>
  <c r="T57" i="1"/>
  <c r="R77" i="1"/>
  <c r="Q103" i="1"/>
  <c r="T159" i="1"/>
  <c r="V3" i="1"/>
  <c r="R41" i="1"/>
  <c r="T104" i="1"/>
  <c r="U163" i="1"/>
  <c r="R4" i="1"/>
  <c r="S24" i="1"/>
  <c r="T41" i="1"/>
  <c r="R60" i="1"/>
  <c r="U81" i="1"/>
  <c r="S107" i="1"/>
  <c r="V131" i="1"/>
  <c r="S164" i="1"/>
  <c r="Q7" i="1"/>
  <c r="T24" i="1"/>
  <c r="V41" i="1"/>
  <c r="T60" i="1"/>
  <c r="Q85" i="1"/>
  <c r="U107" i="1"/>
  <c r="Q132" i="1"/>
  <c r="V170" i="1"/>
  <c r="U24" i="1"/>
  <c r="Q42" i="1"/>
  <c r="V63" i="1"/>
  <c r="R85" i="1"/>
  <c r="V107" i="1"/>
  <c r="U170" i="1"/>
  <c r="Q168" i="1"/>
  <c r="S165" i="1"/>
  <c r="U162" i="1"/>
  <c r="Q160" i="1"/>
  <c r="S157" i="1"/>
  <c r="U154" i="1"/>
  <c r="Q152" i="1"/>
  <c r="S149" i="1"/>
  <c r="U146" i="1"/>
  <c r="Q144" i="1"/>
  <c r="S170" i="1"/>
  <c r="U167" i="1"/>
  <c r="Q165" i="1"/>
  <c r="S162" i="1"/>
  <c r="U159" i="1"/>
  <c r="Q157" i="1"/>
  <c r="S154" i="1"/>
  <c r="U151" i="1"/>
  <c r="Q149" i="1"/>
  <c r="V169" i="1"/>
  <c r="V166" i="1"/>
  <c r="V163" i="1"/>
  <c r="V160" i="1"/>
  <c r="V157" i="1"/>
  <c r="V154" i="1"/>
  <c r="T151" i="1"/>
  <c r="T148" i="1"/>
  <c r="U145" i="1"/>
  <c r="V142" i="1"/>
  <c r="R140" i="1"/>
  <c r="T137" i="1"/>
  <c r="V134" i="1"/>
  <c r="R132" i="1"/>
  <c r="T129" i="1"/>
  <c r="V126" i="1"/>
  <c r="R124" i="1"/>
  <c r="T121" i="1"/>
  <c r="V118" i="1"/>
  <c r="R116" i="1"/>
  <c r="T113" i="1"/>
  <c r="V110" i="1"/>
  <c r="R108" i="1"/>
  <c r="T105" i="1"/>
  <c r="V102" i="1"/>
  <c r="R100" i="1"/>
  <c r="T97" i="1"/>
  <c r="V94" i="1"/>
  <c r="R92" i="1"/>
  <c r="T89" i="1"/>
  <c r="V86" i="1"/>
  <c r="T169" i="1"/>
  <c r="T166" i="1"/>
  <c r="T163" i="1"/>
  <c r="U168" i="1"/>
  <c r="R165" i="1"/>
  <c r="U161" i="1"/>
  <c r="T158" i="1"/>
  <c r="S155" i="1"/>
  <c r="R152" i="1"/>
  <c r="U148" i="1"/>
  <c r="T145" i="1"/>
  <c r="T142" i="1"/>
  <c r="U139" i="1"/>
  <c r="V136" i="1"/>
  <c r="Q134" i="1"/>
  <c r="R131" i="1"/>
  <c r="S128" i="1"/>
  <c r="T125" i="1"/>
  <c r="U122" i="1"/>
  <c r="V119" i="1"/>
  <c r="Q117" i="1"/>
  <c r="R114" i="1"/>
  <c r="S111" i="1"/>
  <c r="T108" i="1"/>
  <c r="U105" i="1"/>
  <c r="U102" i="1"/>
  <c r="V99" i="1"/>
  <c r="Q97" i="1"/>
  <c r="R94" i="1"/>
  <c r="S91" i="1"/>
  <c r="T88" i="1"/>
  <c r="U85" i="1"/>
  <c r="Q83" i="1"/>
  <c r="S80" i="1"/>
  <c r="U77" i="1"/>
  <c r="Q75" i="1"/>
  <c r="S72" i="1"/>
  <c r="U69" i="1"/>
  <c r="Q67" i="1"/>
  <c r="S64" i="1"/>
  <c r="U61" i="1"/>
  <c r="Q59" i="1"/>
  <c r="V171" i="1"/>
  <c r="T168" i="1"/>
  <c r="V164" i="1"/>
  <c r="T161" i="1"/>
  <c r="S158" i="1"/>
  <c r="R155" i="1"/>
  <c r="V151" i="1"/>
  <c r="S148" i="1"/>
  <c r="S145" i="1"/>
  <c r="S142" i="1"/>
  <c r="T139" i="1"/>
  <c r="U136" i="1"/>
  <c r="V133" i="1"/>
  <c r="Q131" i="1"/>
  <c r="R128" i="1"/>
  <c r="S125" i="1"/>
  <c r="T122" i="1"/>
  <c r="U119" i="1"/>
  <c r="V116" i="1"/>
  <c r="Q114" i="1"/>
  <c r="R111" i="1"/>
  <c r="S108" i="1"/>
  <c r="S105" i="1"/>
  <c r="T102" i="1"/>
  <c r="U99" i="1"/>
  <c r="V96" i="1"/>
  <c r="Q94" i="1"/>
  <c r="R91" i="1"/>
  <c r="S88" i="1"/>
  <c r="T85" i="1"/>
  <c r="V82" i="1"/>
  <c r="R80" i="1"/>
  <c r="T77" i="1"/>
  <c r="V74" i="1"/>
  <c r="R72" i="1"/>
  <c r="T69" i="1"/>
  <c r="V66" i="1"/>
  <c r="R64" i="1"/>
  <c r="T61" i="1"/>
  <c r="V58" i="1"/>
  <c r="R56" i="1"/>
  <c r="T53" i="1"/>
  <c r="V50" i="1"/>
  <c r="R48" i="1"/>
  <c r="R171" i="1"/>
  <c r="T167" i="1"/>
  <c r="R164" i="1"/>
  <c r="U160" i="1"/>
  <c r="T157" i="1"/>
  <c r="Q154" i="1"/>
  <c r="V150" i="1"/>
  <c r="U147" i="1"/>
  <c r="U144" i="1"/>
  <c r="U141" i="1"/>
  <c r="Q169" i="1"/>
  <c r="U165" i="1"/>
  <c r="Q162" i="1"/>
  <c r="V158" i="1"/>
  <c r="T171" i="1"/>
  <c r="Q167" i="1"/>
  <c r="T162" i="1"/>
  <c r="Q158" i="1"/>
  <c r="U153" i="1"/>
  <c r="Q150" i="1"/>
  <c r="R146" i="1"/>
  <c r="R142" i="1"/>
  <c r="V138" i="1"/>
  <c r="U135" i="1"/>
  <c r="T132" i="1"/>
  <c r="R129" i="1"/>
  <c r="Q126" i="1"/>
  <c r="V122" i="1"/>
  <c r="S119" i="1"/>
  <c r="Q116" i="1"/>
  <c r="V112" i="1"/>
  <c r="U109" i="1"/>
  <c r="T106" i="1"/>
  <c r="S103" i="1"/>
  <c r="Q100" i="1"/>
  <c r="T96" i="1"/>
  <c r="S93" i="1"/>
  <c r="R90" i="1"/>
  <c r="Q87" i="1"/>
  <c r="V83" i="1"/>
  <c r="V80" i="1"/>
  <c r="V77" i="1"/>
  <c r="T74" i="1"/>
  <c r="T71" i="1"/>
  <c r="T68" i="1"/>
  <c r="T65" i="1"/>
  <c r="T62" i="1"/>
  <c r="T59" i="1"/>
  <c r="T56" i="1"/>
  <c r="U53" i="1"/>
  <c r="U50" i="1"/>
  <c r="V47" i="1"/>
  <c r="R45" i="1"/>
  <c r="T42" i="1"/>
  <c r="V39" i="1"/>
  <c r="R37" i="1"/>
  <c r="T34" i="1"/>
  <c r="V31" i="1"/>
  <c r="R29" i="1"/>
  <c r="T26" i="1"/>
  <c r="V23" i="1"/>
  <c r="R21" i="1"/>
  <c r="T18" i="1"/>
  <c r="V15" i="1"/>
  <c r="R13" i="1"/>
  <c r="T10" i="1"/>
  <c r="V7" i="1"/>
  <c r="R5" i="1"/>
  <c r="T2" i="1"/>
  <c r="S171" i="1"/>
  <c r="U166" i="1"/>
  <c r="R162" i="1"/>
  <c r="U157" i="1"/>
  <c r="T153" i="1"/>
  <c r="V149" i="1"/>
  <c r="Q146" i="1"/>
  <c r="Q142" i="1"/>
  <c r="U138" i="1"/>
  <c r="T135" i="1"/>
  <c r="S132" i="1"/>
  <c r="Q129" i="1"/>
  <c r="V125" i="1"/>
  <c r="S122" i="1"/>
  <c r="R119" i="1"/>
  <c r="V115" i="1"/>
  <c r="U112" i="1"/>
  <c r="T109" i="1"/>
  <c r="S106" i="1"/>
  <c r="R103" i="1"/>
  <c r="T99" i="1"/>
  <c r="S96" i="1"/>
  <c r="R93" i="1"/>
  <c r="Q90" i="1"/>
  <c r="U86" i="1"/>
  <c r="U83" i="1"/>
  <c r="U80" i="1"/>
  <c r="S77" i="1"/>
  <c r="S74" i="1"/>
  <c r="S71" i="1"/>
  <c r="S68" i="1"/>
  <c r="S65" i="1"/>
  <c r="S62" i="1"/>
  <c r="S59" i="1"/>
  <c r="S56" i="1"/>
  <c r="S53" i="1"/>
  <c r="T50" i="1"/>
  <c r="U47" i="1"/>
  <c r="Q45" i="1"/>
  <c r="S42" i="1"/>
  <c r="U39" i="1"/>
  <c r="Q37" i="1"/>
  <c r="S34" i="1"/>
  <c r="U31" i="1"/>
  <c r="Q29" i="1"/>
  <c r="S26" i="1"/>
  <c r="U23" i="1"/>
  <c r="Q21" i="1"/>
  <c r="S18" i="1"/>
  <c r="U15" i="1"/>
  <c r="Q13" i="1"/>
  <c r="S10" i="1"/>
  <c r="U7" i="1"/>
  <c r="Q5" i="1"/>
  <c r="S2" i="1"/>
  <c r="R170" i="1"/>
  <c r="V165" i="1"/>
  <c r="Q161" i="1"/>
  <c r="T156" i="1"/>
  <c r="V152" i="1"/>
  <c r="V148" i="1"/>
  <c r="V144" i="1"/>
  <c r="R141" i="1"/>
  <c r="Q138" i="1"/>
  <c r="U134" i="1"/>
  <c r="T131" i="1"/>
  <c r="Q128" i="1"/>
  <c r="V124" i="1"/>
  <c r="U121" i="1"/>
  <c r="S118" i="1"/>
  <c r="R115" i="1"/>
  <c r="Q112" i="1"/>
  <c r="V108" i="1"/>
  <c r="R105" i="1"/>
  <c r="Q102" i="1"/>
  <c r="V98" i="1"/>
  <c r="U95" i="1"/>
  <c r="T92" i="1"/>
  <c r="R89" i="1"/>
  <c r="Q86" i="1"/>
  <c r="U82" i="1"/>
  <c r="U79" i="1"/>
  <c r="U76" i="1"/>
  <c r="U73" i="1"/>
  <c r="U70" i="1"/>
  <c r="U67" i="1"/>
  <c r="U64" i="1"/>
  <c r="S61" i="1"/>
  <c r="S58" i="1"/>
  <c r="T55" i="1"/>
  <c r="U52" i="1"/>
  <c r="V49" i="1"/>
  <c r="Q47" i="1"/>
  <c r="S44" i="1"/>
  <c r="U41" i="1"/>
  <c r="Q39" i="1"/>
  <c r="S36" i="1"/>
  <c r="U33" i="1"/>
  <c r="Q31" i="1"/>
  <c r="S28" i="1"/>
  <c r="U25" i="1"/>
  <c r="V167" i="1"/>
  <c r="R163" i="1"/>
  <c r="Q159" i="1"/>
  <c r="T154" i="1"/>
  <c r="T150" i="1"/>
  <c r="V146" i="1"/>
  <c r="R143" i="1"/>
  <c r="S139" i="1"/>
  <c r="R136" i="1"/>
  <c r="Q133" i="1"/>
  <c r="V129" i="1"/>
  <c r="T126" i="1"/>
  <c r="S123" i="1"/>
  <c r="R120" i="1"/>
  <c r="U116" i="1"/>
  <c r="S113" i="1"/>
  <c r="R110" i="1"/>
  <c r="Q107" i="1"/>
  <c r="V103" i="1"/>
  <c r="U100" i="1"/>
  <c r="S97" i="1"/>
  <c r="V93" i="1"/>
  <c r="S167" i="1"/>
  <c r="Q163" i="1"/>
  <c r="U158" i="1"/>
  <c r="R154" i="1"/>
  <c r="S150" i="1"/>
  <c r="T146" i="1"/>
  <c r="Q143" i="1"/>
  <c r="R139" i="1"/>
  <c r="Q136" i="1"/>
  <c r="V132" i="1"/>
  <c r="U129" i="1"/>
  <c r="S126" i="1"/>
  <c r="R123" i="1"/>
  <c r="Q120" i="1"/>
  <c r="T116" i="1"/>
  <c r="R113" i="1"/>
  <c r="Q110" i="1"/>
  <c r="V106" i="1"/>
  <c r="U103" i="1"/>
  <c r="T100" i="1"/>
  <c r="R97" i="1"/>
  <c r="U93" i="1"/>
  <c r="T90" i="1"/>
  <c r="S87" i="1"/>
  <c r="R84" i="1"/>
  <c r="R81" i="1"/>
  <c r="R78" i="1"/>
  <c r="R75" i="1"/>
  <c r="V71" i="1"/>
  <c r="V68" i="1"/>
  <c r="V65" i="1"/>
  <c r="V62" i="1"/>
  <c r="V59" i="1"/>
  <c r="V56" i="1"/>
  <c r="Q54" i="1"/>
  <c r="R51" i="1"/>
  <c r="S48" i="1"/>
  <c r="T45" i="1"/>
  <c r="V42" i="1"/>
  <c r="R40" i="1"/>
  <c r="T37" i="1"/>
  <c r="V34" i="1"/>
  <c r="R32" i="1"/>
  <c r="T29" i="1"/>
  <c r="V26" i="1"/>
  <c r="R24" i="1"/>
  <c r="T21" i="1"/>
  <c r="V18" i="1"/>
  <c r="R16" i="1"/>
  <c r="T13" i="1"/>
  <c r="V10" i="1"/>
  <c r="R8" i="1"/>
  <c r="T5" i="1"/>
  <c r="V2" i="1"/>
  <c r="U169" i="1"/>
  <c r="S163" i="1"/>
  <c r="S156" i="1"/>
  <c r="Q151" i="1"/>
  <c r="Q145" i="1"/>
  <c r="S140" i="1"/>
  <c r="R135" i="1"/>
  <c r="T130" i="1"/>
  <c r="U125" i="1"/>
  <c r="Q121" i="1"/>
  <c r="S116" i="1"/>
  <c r="U111" i="1"/>
  <c r="R107" i="1"/>
  <c r="V101" i="1"/>
  <c r="V97" i="1"/>
  <c r="U92" i="1"/>
  <c r="R88" i="1"/>
  <c r="S84" i="1"/>
  <c r="V79" i="1"/>
  <c r="Q76" i="1"/>
  <c r="Q72" i="1"/>
  <c r="V67" i="1"/>
  <c r="U63" i="1"/>
  <c r="Q60" i="1"/>
  <c r="U55" i="1"/>
  <c r="Q52" i="1"/>
  <c r="T48" i="1"/>
  <c r="T44" i="1"/>
  <c r="Q41" i="1"/>
  <c r="U37" i="1"/>
  <c r="V33" i="1"/>
  <c r="S30" i="1"/>
  <c r="Q27" i="1"/>
  <c r="R23" i="1"/>
  <c r="Q20" i="1"/>
  <c r="V16" i="1"/>
  <c r="U13" i="1"/>
  <c r="Q10" i="1"/>
  <c r="V6" i="1"/>
  <c r="U3" i="1"/>
  <c r="S169" i="1"/>
  <c r="V162" i="1"/>
  <c r="R156" i="1"/>
  <c r="U150" i="1"/>
  <c r="T144" i="1"/>
  <c r="Q140" i="1"/>
  <c r="Q135" i="1"/>
  <c r="S130" i="1"/>
  <c r="R125" i="1"/>
  <c r="V120" i="1"/>
  <c r="U115" i="1"/>
  <c r="T111" i="1"/>
  <c r="U106" i="1"/>
  <c r="U101" i="1"/>
  <c r="U97" i="1"/>
  <c r="S92" i="1"/>
  <c r="Q88" i="1"/>
  <c r="Q84" i="1"/>
  <c r="T79" i="1"/>
  <c r="V75" i="1"/>
  <c r="U71" i="1"/>
  <c r="T67" i="1"/>
  <c r="T63" i="1"/>
  <c r="U59" i="1"/>
  <c r="S55" i="1"/>
  <c r="V51" i="1"/>
  <c r="Q48" i="1"/>
  <c r="R44" i="1"/>
  <c r="V40" i="1"/>
  <c r="S37" i="1"/>
  <c r="T33" i="1"/>
  <c r="R30" i="1"/>
  <c r="U26" i="1"/>
  <c r="Q23" i="1"/>
  <c r="V19" i="1"/>
  <c r="U16" i="1"/>
  <c r="S13" i="1"/>
  <c r="V9" i="1"/>
  <c r="U6" i="1"/>
  <c r="T3" i="1"/>
  <c r="R169" i="1"/>
  <c r="V161" i="1"/>
  <c r="Q156" i="1"/>
  <c r="R150" i="1"/>
  <c r="S144" i="1"/>
  <c r="V139" i="1"/>
  <c r="T134" i="1"/>
  <c r="R130" i="1"/>
  <c r="Q125" i="1"/>
  <c r="U120" i="1"/>
  <c r="T115" i="1"/>
  <c r="Q111" i="1"/>
  <c r="R106" i="1"/>
  <c r="T101" i="1"/>
  <c r="U96" i="1"/>
  <c r="Q92" i="1"/>
  <c r="V87" i="1"/>
  <c r="T83" i="1"/>
  <c r="S79" i="1"/>
  <c r="U75" i="1"/>
  <c r="R71" i="1"/>
  <c r="S67" i="1"/>
  <c r="S63" i="1"/>
  <c r="R59" i="1"/>
  <c r="R55" i="1"/>
  <c r="U51" i="1"/>
  <c r="T47" i="1"/>
  <c r="Q44" i="1"/>
  <c r="U40" i="1"/>
  <c r="V36" i="1"/>
  <c r="S33" i="1"/>
  <c r="Q30" i="1"/>
  <c r="R26" i="1"/>
  <c r="V22" i="1"/>
  <c r="U19" i="1"/>
  <c r="T16" i="1"/>
  <c r="V12" i="1"/>
  <c r="U9" i="1"/>
  <c r="T6" i="1"/>
  <c r="S3" i="1"/>
  <c r="R133" i="1"/>
  <c r="V168" i="1"/>
  <c r="S161" i="1"/>
  <c r="V155" i="1"/>
  <c r="U149" i="1"/>
  <c r="R144" i="1"/>
  <c r="Q139" i="1"/>
  <c r="S134" i="1"/>
  <c r="Q130" i="1"/>
  <c r="U124" i="1"/>
  <c r="T120" i="1"/>
  <c r="S115" i="1"/>
  <c r="U110" i="1"/>
  <c r="Q106" i="1"/>
  <c r="S101" i="1"/>
  <c r="R96" i="1"/>
  <c r="V91" i="1"/>
  <c r="U87" i="1"/>
  <c r="S83" i="1"/>
  <c r="R79" i="1"/>
  <c r="T75" i="1"/>
  <c r="Q71" i="1"/>
  <c r="R67" i="1"/>
  <c r="R63" i="1"/>
  <c r="U58" i="1"/>
  <c r="Q55" i="1"/>
  <c r="T51" i="1"/>
  <c r="S47" i="1"/>
  <c r="V43" i="1"/>
  <c r="T40" i="1"/>
  <c r="U36" i="1"/>
  <c r="R33" i="1"/>
  <c r="V29" i="1"/>
  <c r="Q26" i="1"/>
  <c r="U22" i="1"/>
  <c r="T19" i="1"/>
  <c r="S16" i="1"/>
  <c r="U12" i="1"/>
  <c r="T9" i="1"/>
  <c r="S6" i="1"/>
  <c r="R3" i="1"/>
  <c r="S168" i="1"/>
  <c r="R161" i="1"/>
  <c r="U155" i="1"/>
  <c r="T149" i="1"/>
  <c r="V143" i="1"/>
  <c r="T138" i="1"/>
  <c r="R134" i="1"/>
  <c r="S129" i="1"/>
  <c r="T124" i="1"/>
  <c r="S120" i="1"/>
  <c r="Q115" i="1"/>
  <c r="T110" i="1"/>
  <c r="V105" i="1"/>
  <c r="R101" i="1"/>
  <c r="Q96" i="1"/>
  <c r="U91" i="1"/>
  <c r="T87" i="1"/>
  <c r="R83" i="1"/>
  <c r="Q79" i="1"/>
  <c r="S75" i="1"/>
  <c r="V70" i="1"/>
  <c r="U66" i="1"/>
  <c r="Q63" i="1"/>
  <c r="T58" i="1"/>
  <c r="V54" i="1"/>
  <c r="S51" i="1"/>
  <c r="R47" i="1"/>
  <c r="U43" i="1"/>
  <c r="S40" i="1"/>
  <c r="T36" i="1"/>
  <c r="Q33" i="1"/>
  <c r="U29" i="1"/>
  <c r="V25" i="1"/>
  <c r="T22" i="1"/>
  <c r="S19" i="1"/>
  <c r="Q16" i="1"/>
  <c r="T12" i="1"/>
  <c r="S9" i="1"/>
  <c r="R6" i="1"/>
  <c r="Q3" i="1"/>
  <c r="V159" i="1"/>
  <c r="U123" i="1"/>
  <c r="R168" i="1"/>
  <c r="T160" i="1"/>
  <c r="T155" i="1"/>
  <c r="R149" i="1"/>
  <c r="U143" i="1"/>
  <c r="S138" i="1"/>
  <c r="U133" i="1"/>
  <c r="V128" i="1"/>
  <c r="S124" i="1"/>
  <c r="T119" i="1"/>
  <c r="V114" i="1"/>
  <c r="S110" i="1"/>
  <c r="Q105" i="1"/>
  <c r="Q101" i="1"/>
  <c r="V95" i="1"/>
  <c r="T91" i="1"/>
  <c r="R87" i="1"/>
  <c r="T82" i="1"/>
  <c r="V78" i="1"/>
  <c r="U74" i="1"/>
  <c r="T70" i="1"/>
  <c r="T66" i="1"/>
  <c r="U62" i="1"/>
  <c r="R58" i="1"/>
  <c r="U54" i="1"/>
  <c r="Q51" i="1"/>
  <c r="V46" i="1"/>
  <c r="T43" i="1"/>
  <c r="Q40" i="1"/>
  <c r="R36" i="1"/>
  <c r="V32" i="1"/>
  <c r="S29" i="1"/>
  <c r="T25" i="1"/>
  <c r="S22" i="1"/>
  <c r="R19" i="1"/>
  <c r="T15" i="1"/>
  <c r="S12" i="1"/>
  <c r="R9" i="1"/>
  <c r="Q6" i="1"/>
  <c r="U2" i="1"/>
  <c r="V147" i="1"/>
  <c r="T118" i="1"/>
  <c r="R167" i="1"/>
  <c r="S160" i="1"/>
  <c r="Q155" i="1"/>
  <c r="R148" i="1"/>
  <c r="T143" i="1"/>
  <c r="R138" i="1"/>
  <c r="T133" i="1"/>
  <c r="U128" i="1"/>
  <c r="Q124" i="1"/>
  <c r="Q119" i="1"/>
  <c r="U114" i="1"/>
  <c r="V109" i="1"/>
  <c r="V104" i="1"/>
  <c r="V100" i="1"/>
  <c r="T95" i="1"/>
  <c r="Q91" i="1"/>
  <c r="T86" i="1"/>
  <c r="S82" i="1"/>
  <c r="U78" i="1"/>
  <c r="R74" i="1"/>
  <c r="S70" i="1"/>
  <c r="S66" i="1"/>
  <c r="R62" i="1"/>
  <c r="Q58" i="1"/>
  <c r="T54" i="1"/>
  <c r="S50" i="1"/>
  <c r="U46" i="1"/>
  <c r="S43" i="1"/>
  <c r="T39" i="1"/>
  <c r="Q36" i="1"/>
  <c r="U32" i="1"/>
  <c r="V28" i="1"/>
  <c r="S25" i="1"/>
  <c r="R22" i="1"/>
  <c r="Q19" i="1"/>
  <c r="S15" i="1"/>
  <c r="R12" i="1"/>
  <c r="Q9" i="1"/>
  <c r="V5" i="1"/>
  <c r="R2" i="1"/>
  <c r="R166" i="1"/>
  <c r="S153" i="1"/>
  <c r="U142" i="1"/>
  <c r="U137" i="1"/>
  <c r="V127" i="1"/>
  <c r="S114" i="1"/>
  <c r="S166" i="1"/>
  <c r="R160" i="1"/>
  <c r="V153" i="1"/>
  <c r="Q148" i="1"/>
  <c r="S143" i="1"/>
  <c r="V137" i="1"/>
  <c r="S133" i="1"/>
  <c r="T128" i="1"/>
  <c r="V123" i="1"/>
  <c r="U118" i="1"/>
  <c r="T114" i="1"/>
  <c r="S109" i="1"/>
  <c r="U104" i="1"/>
  <c r="S100" i="1"/>
  <c r="S95" i="1"/>
  <c r="V90" i="1"/>
  <c r="S86" i="1"/>
  <c r="R82" i="1"/>
  <c r="T78" i="1"/>
  <c r="Q74" i="1"/>
  <c r="R70" i="1"/>
  <c r="R66" i="1"/>
  <c r="Q62" i="1"/>
  <c r="V57" i="1"/>
  <c r="S54" i="1"/>
  <c r="R50" i="1"/>
  <c r="T46" i="1"/>
  <c r="R43" i="1"/>
  <c r="S39" i="1"/>
  <c r="V35" i="1"/>
  <c r="T32" i="1"/>
  <c r="U28" i="1"/>
  <c r="R25" i="1"/>
  <c r="Q22" i="1"/>
  <c r="U18" i="1"/>
  <c r="R15" i="1"/>
  <c r="Q12" i="1"/>
  <c r="V8" i="1"/>
  <c r="U5" i="1"/>
  <c r="Q2" i="1"/>
  <c r="T170" i="1"/>
  <c r="Q164" i="1"/>
  <c r="V156" i="1"/>
  <c r="S151" i="1"/>
  <c r="V145" i="1"/>
  <c r="U140" i="1"/>
  <c r="V135" i="1"/>
  <c r="V130" i="1"/>
  <c r="U126" i="1"/>
  <c r="S121" i="1"/>
  <c r="S117" i="1"/>
  <c r="R112" i="1"/>
  <c r="T107" i="1"/>
  <c r="S102" i="1"/>
  <c r="R98" i="1"/>
  <c r="Q93" i="1"/>
  <c r="V88" i="1"/>
  <c r="U84" i="1"/>
  <c r="T80" i="1"/>
  <c r="S76" i="1"/>
  <c r="U72" i="1"/>
  <c r="R68" i="1"/>
  <c r="Q64" i="1"/>
  <c r="S60" i="1"/>
  <c r="Q56" i="1"/>
  <c r="S52" i="1"/>
  <c r="V48" i="1"/>
  <c r="V44" i="1"/>
  <c r="S41" i="1"/>
  <c r="Q38" i="1"/>
  <c r="R34" i="1"/>
  <c r="U30" i="1"/>
  <c r="S27" i="1"/>
  <c r="T23" i="1"/>
  <c r="S20" i="1"/>
  <c r="R17" i="1"/>
  <c r="Q14" i="1"/>
  <c r="U10" i="1"/>
  <c r="R7" i="1"/>
  <c r="Q4" i="1"/>
  <c r="R157" i="1"/>
  <c r="S141" i="1"/>
  <c r="U127" i="1"/>
  <c r="T117" i="1"/>
  <c r="S104" i="1"/>
  <c r="T94" i="1"/>
  <c r="V84" i="1"/>
  <c r="V73" i="1"/>
  <c r="R65" i="1"/>
  <c r="Q57" i="1"/>
  <c r="U48" i="1"/>
  <c r="V38" i="1"/>
  <c r="S31" i="1"/>
  <c r="Q24" i="1"/>
  <c r="Q15" i="1"/>
  <c r="S8" i="1"/>
  <c r="U156" i="1"/>
  <c r="Q141" i="1"/>
  <c r="T127" i="1"/>
  <c r="R117" i="1"/>
  <c r="R104" i="1"/>
  <c r="S94" i="1"/>
  <c r="T84" i="1"/>
  <c r="T73" i="1"/>
  <c r="Q65" i="1"/>
  <c r="U56" i="1"/>
  <c r="S46" i="1"/>
  <c r="U38" i="1"/>
  <c r="R31" i="1"/>
  <c r="S23" i="1"/>
  <c r="V14" i="1"/>
  <c r="Q8" i="1"/>
  <c r="U171" i="1"/>
  <c r="R153" i="1"/>
  <c r="V140" i="1"/>
  <c r="S127" i="1"/>
  <c r="V113" i="1"/>
  <c r="Q104" i="1"/>
  <c r="T93" i="1"/>
  <c r="Q82" i="1"/>
  <c r="S73" i="1"/>
  <c r="V64" i="1"/>
  <c r="V55" i="1"/>
  <c r="R46" i="1"/>
  <c r="T38" i="1"/>
  <c r="V30" i="1"/>
  <c r="V21" i="1"/>
  <c r="U14" i="1"/>
  <c r="T7" i="1"/>
  <c r="Q171" i="1"/>
  <c r="Q153" i="1"/>
  <c r="T140" i="1"/>
  <c r="R127" i="1"/>
  <c r="U113" i="1"/>
  <c r="T103" i="1"/>
  <c r="V92" i="1"/>
  <c r="V81" i="1"/>
  <c r="R73" i="1"/>
  <c r="T64" i="1"/>
  <c r="R54" i="1"/>
  <c r="Q46" i="1"/>
  <c r="S38" i="1"/>
  <c r="T30" i="1"/>
  <c r="U21" i="1"/>
  <c r="T14" i="1"/>
  <c r="S7" i="1"/>
  <c r="Q170" i="1"/>
  <c r="T152" i="1"/>
  <c r="R137" i="1"/>
  <c r="R126" i="1"/>
  <c r="T112" i="1"/>
  <c r="R102" i="1"/>
  <c r="S90" i="1"/>
  <c r="T81" i="1"/>
  <c r="V72" i="1"/>
  <c r="V61" i="1"/>
  <c r="R53" i="1"/>
  <c r="U45" i="1"/>
  <c r="V37" i="1"/>
  <c r="R28" i="1"/>
  <c r="V20" i="1"/>
  <c r="R14" i="1"/>
  <c r="S5" i="1"/>
  <c r="V11" i="1"/>
  <c r="U164" i="1"/>
  <c r="T147" i="1"/>
  <c r="S136" i="1"/>
  <c r="R122" i="1"/>
  <c r="R109" i="1"/>
  <c r="Q99" i="1"/>
  <c r="S89" i="1"/>
  <c r="Q80" i="1"/>
  <c r="V69" i="1"/>
  <c r="V60" i="1"/>
  <c r="T52" i="1"/>
  <c r="Q43" i="1"/>
  <c r="S35" i="1"/>
  <c r="U27" i="1"/>
  <c r="R20" i="1"/>
  <c r="U11" i="1"/>
  <c r="T4" i="1"/>
  <c r="T164" i="1"/>
  <c r="S147" i="1"/>
  <c r="S135" i="1"/>
  <c r="Q122" i="1"/>
  <c r="Q109" i="1"/>
  <c r="U98" i="1"/>
  <c r="Q89" i="1"/>
  <c r="S78" i="1"/>
  <c r="S69" i="1"/>
  <c r="U60" i="1"/>
  <c r="R52" i="1"/>
  <c r="U42" i="1"/>
  <c r="R35" i="1"/>
  <c r="T27" i="1"/>
  <c r="R18" i="1"/>
  <c r="T11" i="1"/>
  <c r="S4" i="1"/>
  <c r="Q166" i="1"/>
  <c r="S152" i="1"/>
  <c r="Q137" i="1"/>
  <c r="T123" i="1"/>
  <c r="S112" i="1"/>
  <c r="S99" i="1"/>
  <c r="V89" i="1"/>
  <c r="S81" i="1"/>
  <c r="T72" i="1"/>
  <c r="R61" i="1"/>
  <c r="Q53" i="1"/>
  <c r="S45" i="1"/>
  <c r="U35" i="1"/>
  <c r="Q28" i="1"/>
  <c r="U20" i="1"/>
  <c r="V13" i="1"/>
  <c r="V4" i="1"/>
  <c r="T165" i="1"/>
  <c r="R151" i="1"/>
  <c r="T136" i="1"/>
  <c r="Q123" i="1"/>
  <c r="V111" i="1"/>
  <c r="R99" i="1"/>
  <c r="U89" i="1"/>
  <c r="Q81" i="1"/>
  <c r="Q70" i="1"/>
  <c r="Q61" i="1"/>
  <c r="V52" i="1"/>
  <c r="U44" i="1"/>
  <c r="T35" i="1"/>
  <c r="V27" i="1"/>
  <c r="T20" i="1"/>
  <c r="U4" i="1"/>
  <c r="T8" i="1"/>
  <c r="U8" i="1"/>
  <c r="V24" i="1"/>
  <c r="R42" i="1"/>
  <c r="U65" i="1"/>
  <c r="S85" i="1"/>
  <c r="Q108" i="1"/>
  <c r="S137" i="1"/>
  <c r="S131" i="1"/>
  <c r="R10" i="1"/>
  <c r="Q25" i="1"/>
  <c r="V45" i="1"/>
  <c r="Q66" i="1"/>
  <c r="V85" i="1"/>
  <c r="U108" i="1"/>
  <c r="T141" i="1"/>
  <c r="S98" i="1"/>
  <c r="V76" i="1"/>
  <c r="Q127" i="1"/>
  <c r="R39" i="1"/>
  <c r="S21" i="1"/>
  <c r="U57" i="1"/>
  <c r="Q78" i="1"/>
  <c r="U131" i="1"/>
  <c r="Q11" i="1"/>
  <c r="R27" i="1"/>
  <c r="Q49" i="1"/>
  <c r="Q68" i="1"/>
  <c r="R86" i="1"/>
  <c r="Q113" i="1"/>
  <c r="V141" i="1"/>
  <c r="R11" i="1"/>
  <c r="R49" i="1"/>
  <c r="U117" i="1"/>
  <c r="S11" i="1"/>
  <c r="T31" i="1"/>
  <c r="S49" i="1"/>
  <c r="Q69" i="1"/>
  <c r="U90" i="1"/>
  <c r="V117" i="1"/>
  <c r="S146" i="1"/>
  <c r="B13" i="4"/>
  <c r="T28" i="1"/>
  <c r="U68" i="1"/>
  <c r="U88" i="1"/>
  <c r="R145" i="1"/>
  <c r="S14" i="1"/>
  <c r="Q32" i="1"/>
  <c r="T49" i="1"/>
  <c r="R69" i="1"/>
  <c r="U94" i="1"/>
  <c r="Q118" i="1"/>
  <c r="Q147" i="1"/>
  <c r="B29" i="4"/>
  <c r="B14" i="4"/>
  <c r="B26" i="4"/>
  <c r="Q17" i="1"/>
  <c r="S32" i="1"/>
  <c r="U49" i="1"/>
  <c r="Q73" i="1"/>
  <c r="Q95" i="1"/>
  <c r="R118" i="1"/>
  <c r="R147" i="1"/>
  <c r="B10" i="4"/>
  <c r="S17" i="1"/>
  <c r="Q34" i="1"/>
  <c r="Q50" i="1"/>
  <c r="R76" i="1"/>
  <c r="R95" i="1"/>
  <c r="R121" i="1"/>
  <c r="U152" i="1"/>
  <c r="T17" i="1"/>
  <c r="U34" i="1"/>
  <c r="V53" i="1"/>
  <c r="T76" i="1"/>
  <c r="Q98" i="1"/>
  <c r="V121" i="1"/>
  <c r="R158" i="1"/>
  <c r="B8" i="4"/>
  <c r="B27" i="4"/>
  <c r="B17" i="4"/>
  <c r="B18" i="4"/>
  <c r="B19" i="4"/>
  <c r="B6" i="4"/>
  <c r="B22" i="4"/>
  <c r="AF171" i="1"/>
  <c r="AE170" i="1"/>
  <c r="K128" i="1"/>
  <c r="AE169" i="1"/>
  <c r="AF169" i="1"/>
  <c r="AA170" i="1"/>
  <c r="AB170" i="1"/>
  <c r="AC170" i="1"/>
  <c r="AD170" i="1"/>
  <c r="AC168" i="1"/>
  <c r="AD168" i="1"/>
  <c r="Z171" i="1"/>
  <c r="AA171" i="1"/>
  <c r="Z169" i="1"/>
  <c r="K151" i="1"/>
  <c r="C123" i="3" s="1"/>
  <c r="AC171" i="1"/>
  <c r="P171" i="1"/>
  <c r="AB169" i="1"/>
  <c r="AD171" i="1"/>
  <c r="AC169" i="1"/>
  <c r="AE171" i="1"/>
  <c r="Z170" i="1"/>
  <c r="K74" i="1"/>
  <c r="C46" i="3" s="1"/>
  <c r="Z168" i="1"/>
  <c r="AA168" i="1"/>
  <c r="P170" i="1"/>
  <c r="AB168" i="1"/>
  <c r="P168" i="1"/>
  <c r="AF170" i="1"/>
  <c r="AE168" i="1"/>
  <c r="AF168" i="1"/>
  <c r="AB171" i="1"/>
  <c r="K148" i="1"/>
  <c r="C120" i="3" s="1"/>
  <c r="AA169" i="1"/>
  <c r="P169" i="1"/>
  <c r="AD169" i="1"/>
  <c r="K101" i="1"/>
  <c r="C73" i="3" s="1"/>
  <c r="K69" i="1"/>
  <c r="C41" i="3" s="1"/>
  <c r="K60" i="1"/>
  <c r="C32" i="3" s="1"/>
  <c r="K161" i="1"/>
  <c r="C133" i="3" s="1"/>
  <c r="K121" i="1"/>
  <c r="C93" i="3" s="1"/>
  <c r="K22" i="1"/>
  <c r="Q24" i="5"/>
  <c r="AF5" i="5"/>
  <c r="AF4" i="5"/>
  <c r="AF166" i="5"/>
  <c r="AB140" i="5"/>
  <c r="AD135" i="5"/>
  <c r="AC133" i="5"/>
  <c r="AF131" i="5"/>
  <c r="R126" i="5"/>
  <c r="AF124" i="5"/>
  <c r="AC118" i="5"/>
  <c r="P117" i="5"/>
  <c r="AD115" i="5"/>
  <c r="AB58" i="5"/>
  <c r="Q48" i="5"/>
  <c r="V45" i="5"/>
  <c r="AE42" i="5"/>
  <c r="AC41" i="5"/>
  <c r="AB40" i="5"/>
  <c r="V39" i="5"/>
  <c r="T34" i="5"/>
  <c r="U31" i="5"/>
  <c r="P24" i="5"/>
  <c r="S18" i="5"/>
  <c r="V17" i="5"/>
  <c r="V166" i="5"/>
  <c r="AB162" i="5"/>
  <c r="Q146" i="5"/>
  <c r="U142" i="5"/>
  <c r="AA140" i="5"/>
  <c r="AF138" i="5"/>
  <c r="S135" i="5"/>
  <c r="P133" i="5"/>
  <c r="AE131" i="5"/>
  <c r="Q126" i="5"/>
  <c r="Z122" i="5"/>
  <c r="AA118" i="5"/>
  <c r="U115" i="5"/>
  <c r="AB111" i="5"/>
  <c r="S66" i="5"/>
  <c r="Q63" i="5"/>
  <c r="Z59" i="5"/>
  <c r="R56" i="5"/>
  <c r="AD50" i="5"/>
  <c r="U45" i="5"/>
  <c r="AA42" i="5"/>
  <c r="S39" i="5"/>
  <c r="AE35" i="5"/>
  <c r="P32" i="5"/>
  <c r="Z8" i="5"/>
  <c r="AA4" i="5"/>
  <c r="AB2" i="5"/>
  <c r="AF149" i="5"/>
  <c r="AF109" i="5"/>
  <c r="V100" i="5"/>
  <c r="AF96" i="5"/>
  <c r="AC89" i="5"/>
  <c r="AA85" i="5"/>
  <c r="V83" i="5"/>
  <c r="S82" i="5"/>
  <c r="AD60" i="5"/>
  <c r="Z58" i="5"/>
  <c r="AB50" i="5"/>
  <c r="R45" i="5"/>
  <c r="Z42" i="5"/>
  <c r="Z41" i="5"/>
  <c r="AC27" i="5"/>
  <c r="V19" i="5"/>
  <c r="AA5" i="5"/>
  <c r="U162" i="5"/>
  <c r="AE160" i="5"/>
  <c r="AD149" i="5"/>
  <c r="T131" i="5"/>
  <c r="T109" i="5"/>
  <c r="AF67" i="5"/>
  <c r="U60" i="5"/>
  <c r="U59" i="5"/>
  <c r="V58" i="5"/>
  <c r="S57" i="5"/>
  <c r="AE53" i="5"/>
  <c r="S49" i="5"/>
  <c r="Q34" i="5"/>
  <c r="AC9" i="5"/>
  <c r="Z5" i="5"/>
  <c r="U3" i="5"/>
  <c r="AE154" i="5"/>
  <c r="AE152" i="5"/>
  <c r="S129" i="5"/>
  <c r="S118" i="5"/>
  <c r="R109" i="5"/>
  <c r="Q94" i="5"/>
  <c r="V85" i="5"/>
  <c r="Q82" i="5"/>
  <c r="AE61" i="5"/>
  <c r="S60" i="5"/>
  <c r="AB53" i="5"/>
  <c r="R49" i="5"/>
  <c r="P45" i="5"/>
  <c r="T40" i="5"/>
  <c r="AD36" i="5"/>
  <c r="AB11" i="5"/>
  <c r="S5" i="5"/>
  <c r="R158" i="5"/>
  <c r="AA156" i="5"/>
  <c r="AD152" i="5"/>
  <c r="V147" i="5"/>
  <c r="S138" i="5"/>
  <c r="P118" i="5"/>
  <c r="Q109" i="5"/>
  <c r="AA107" i="5"/>
  <c r="T105" i="5"/>
  <c r="AF103" i="5"/>
  <c r="AD67" i="5"/>
  <c r="AC61" i="5"/>
  <c r="S59" i="5"/>
  <c r="Q58" i="5"/>
  <c r="V50" i="5"/>
  <c r="AA43" i="5"/>
  <c r="Q41" i="5"/>
  <c r="AD37" i="5"/>
  <c r="P35" i="5"/>
  <c r="AD13" i="5"/>
  <c r="R5" i="5"/>
  <c r="V152" i="5"/>
  <c r="R105" i="5"/>
  <c r="S86" i="5"/>
  <c r="S85" i="5"/>
  <c r="P83" i="5"/>
  <c r="S80" i="5"/>
  <c r="R59" i="5"/>
  <c r="Z53" i="5"/>
  <c r="U34" i="5"/>
  <c r="AD2" i="5"/>
  <c r="AC98" i="5"/>
  <c r="AF89" i="5"/>
  <c r="U82" i="5"/>
  <c r="Q79" i="5"/>
  <c r="S74" i="5"/>
  <c r="Z66" i="5"/>
  <c r="T63" i="5"/>
  <c r="AA59" i="5"/>
  <c r="V57" i="5"/>
  <c r="S56" i="5"/>
  <c r="R33" i="5"/>
  <c r="T23" i="5"/>
  <c r="V16" i="5"/>
  <c r="AF6" i="5"/>
  <c r="AB4" i="5"/>
  <c r="AC2" i="5"/>
  <c r="U113" i="5"/>
  <c r="AE77" i="5"/>
  <c r="U57" i="5"/>
  <c r="P48" i="5"/>
  <c r="AA41" i="5"/>
  <c r="P33" i="5"/>
  <c r="T31" i="5"/>
  <c r="AB19" i="5"/>
  <c r="U17" i="5"/>
  <c r="T164" i="5"/>
  <c r="V162" i="5"/>
  <c r="AF160" i="5"/>
  <c r="P151" i="5"/>
  <c r="P146" i="5"/>
  <c r="Z140" i="5"/>
  <c r="AD131" i="5"/>
  <c r="U129" i="5"/>
  <c r="Z118" i="5"/>
  <c r="S113" i="5"/>
  <c r="R111" i="5"/>
  <c r="AB84" i="5"/>
  <c r="AA75" i="5"/>
  <c r="AF72" i="5"/>
  <c r="P63" i="5"/>
  <c r="V59" i="5"/>
  <c r="Q56" i="5"/>
  <c r="AF53" i="5"/>
  <c r="T49" i="5"/>
  <c r="Q18" i="5"/>
  <c r="AD9" i="5"/>
  <c r="AD6" i="5"/>
  <c r="AA3" i="5"/>
  <c r="V140" i="5"/>
  <c r="T129" i="5"/>
  <c r="V118" i="5"/>
  <c r="P96" i="5"/>
  <c r="U94" i="5"/>
  <c r="S89" i="5"/>
  <c r="AE86" i="5"/>
  <c r="Z85" i="5"/>
  <c r="AA84" i="5"/>
  <c r="R82" i="5"/>
  <c r="AA46" i="5"/>
  <c r="T41" i="5"/>
  <c r="U35" i="5"/>
  <c r="P26" i="5"/>
  <c r="AC11" i="5"/>
  <c r="AC10" i="5"/>
  <c r="U8" i="5"/>
  <c r="AD7" i="5"/>
  <c r="AC6" i="5"/>
  <c r="U4" i="5"/>
  <c r="AA138" i="5"/>
  <c r="S131" i="5"/>
  <c r="AF119" i="5"/>
  <c r="P89" i="5"/>
  <c r="AE67" i="5"/>
  <c r="T59" i="5"/>
  <c r="Z46" i="5"/>
  <c r="U42" i="5"/>
  <c r="T35" i="5"/>
  <c r="AC28" i="5"/>
  <c r="R19" i="5"/>
  <c r="AD12" i="5"/>
  <c r="AB10" i="5"/>
  <c r="V9" i="5"/>
  <c r="T8" i="5"/>
  <c r="AB6" i="5"/>
  <c r="T4" i="5"/>
  <c r="V2" i="5"/>
  <c r="P94" i="5"/>
  <c r="Z86" i="5"/>
  <c r="T85" i="5"/>
  <c r="V84" i="5"/>
  <c r="T80" i="5"/>
  <c r="T75" i="5"/>
  <c r="S64" i="5"/>
  <c r="R60" i="5"/>
  <c r="AA53" i="5"/>
  <c r="P46" i="5"/>
  <c r="T42" i="5"/>
  <c r="AC36" i="5"/>
  <c r="R27" i="5"/>
  <c r="AF21" i="5"/>
  <c r="Q19" i="5"/>
  <c r="Q17" i="5"/>
  <c r="AA11" i="5"/>
  <c r="R9" i="5"/>
  <c r="AB7" i="5"/>
  <c r="S4" i="5"/>
  <c r="U2" i="5"/>
  <c r="Q158" i="5"/>
  <c r="AD119" i="5"/>
  <c r="AE103" i="5"/>
  <c r="Z67" i="5"/>
  <c r="R64" i="5"/>
  <c r="AB61" i="5"/>
  <c r="Q60" i="5"/>
  <c r="P58" i="5"/>
  <c r="AF54" i="5"/>
  <c r="Q42" i="5"/>
  <c r="AC37" i="5"/>
  <c r="AA28" i="5"/>
  <c r="Q27" i="5"/>
  <c r="Z45" i="5"/>
  <c r="AD41" i="5"/>
  <c r="AC40" i="5"/>
  <c r="AA39" i="5"/>
  <c r="S33" i="5"/>
  <c r="R32" i="5"/>
  <c r="V31" i="5"/>
  <c r="P30" i="5"/>
  <c r="AE26" i="5"/>
  <c r="P25" i="5"/>
  <c r="U23" i="5"/>
  <c r="AA18" i="5"/>
  <c r="Z17" i="5"/>
  <c r="Z16" i="5"/>
  <c r="AD3" i="5"/>
  <c r="AD162" i="5"/>
  <c r="AC151" i="5"/>
  <c r="V146" i="5"/>
  <c r="Z142" i="5"/>
  <c r="AA122" i="5"/>
  <c r="P104" i="5"/>
  <c r="AA100" i="5"/>
  <c r="Z91" i="5"/>
  <c r="Q88" i="5"/>
  <c r="AC83" i="5"/>
  <c r="AD49" i="5"/>
  <c r="AF35" i="5"/>
  <c r="Q32" i="5"/>
  <c r="V26" i="5"/>
  <c r="AC5" i="5"/>
  <c r="AC3" i="5"/>
  <c r="R151" i="5"/>
  <c r="Z100" i="5"/>
  <c r="V98" i="5"/>
  <c r="S91" i="5"/>
  <c r="AD89" i="5"/>
  <c r="AF85" i="5"/>
  <c r="AC84" i="5"/>
  <c r="Z83" i="5"/>
  <c r="T82" i="5"/>
  <c r="Z69" i="5"/>
  <c r="AF60" i="5"/>
  <c r="AA58" i="5"/>
  <c r="AC49" i="5"/>
  <c r="AA40" i="5"/>
  <c r="S34" i="5"/>
  <c r="S26" i="5"/>
  <c r="R18" i="5"/>
  <c r="AE9" i="5"/>
  <c r="AF7" i="5"/>
  <c r="AE6" i="5"/>
  <c r="AB5" i="5"/>
  <c r="AB3" i="5"/>
  <c r="AE138" i="5"/>
  <c r="T115" i="5"/>
  <c r="Q98" i="5"/>
  <c r="AA94" i="5"/>
  <c r="V69" i="5"/>
  <c r="T57" i="5"/>
  <c r="V40" i="5"/>
  <c r="V35" i="5"/>
  <c r="R34" i="5"/>
  <c r="Q26" i="5"/>
  <c r="T17" i="5"/>
  <c r="AD10" i="5"/>
  <c r="V8" i="5"/>
  <c r="AE7" i="5"/>
  <c r="Z4" i="5"/>
  <c r="AA2" i="5"/>
  <c r="AD138" i="5"/>
  <c r="AD127" i="5"/>
  <c r="U83" i="5"/>
  <c r="Z75" i="5"/>
  <c r="AE72" i="5"/>
  <c r="AA50" i="5"/>
  <c r="Q45" i="5"/>
  <c r="V42" i="5"/>
  <c r="U40" i="5"/>
  <c r="AF36" i="5"/>
  <c r="AB27" i="5"/>
  <c r="AF20" i="5"/>
  <c r="S19" i="5"/>
  <c r="P18" i="5"/>
  <c r="S17" i="5"/>
  <c r="AC160" i="5"/>
  <c r="AC149" i="5"/>
  <c r="AC127" i="5"/>
  <c r="AF107" i="5"/>
  <c r="AB86" i="5"/>
  <c r="Z84" i="5"/>
  <c r="R83" i="5"/>
  <c r="AF80" i="5"/>
  <c r="U75" i="5"/>
  <c r="AD72" i="5"/>
  <c r="U58" i="5"/>
  <c r="Z50" i="5"/>
  <c r="R41" i="5"/>
  <c r="AE37" i="5"/>
  <c r="P34" i="5"/>
  <c r="S27" i="5"/>
  <c r="U20" i="5"/>
  <c r="R17" i="5"/>
  <c r="AC7" i="5"/>
  <c r="T3" i="5"/>
  <c r="AB160" i="5"/>
  <c r="Z154" i="5"/>
  <c r="R129" i="5"/>
  <c r="AE119" i="5"/>
  <c r="Q83" i="5"/>
  <c r="AB28" i="5"/>
  <c r="T20" i="5"/>
  <c r="AC12" i="5"/>
  <c r="AA10" i="5"/>
  <c r="S8" i="5"/>
  <c r="Z6" i="5"/>
  <c r="S3" i="5"/>
  <c r="V154" i="5"/>
  <c r="U147" i="5"/>
  <c r="AA136" i="5"/>
  <c r="AD121" i="5"/>
  <c r="P109" i="5"/>
  <c r="U107" i="5"/>
  <c r="U84" i="5"/>
  <c r="P75" i="5"/>
  <c r="U50" i="5"/>
  <c r="Z43" i="5"/>
  <c r="P41" i="5"/>
  <c r="V36" i="5"/>
  <c r="AC29" i="5"/>
  <c r="V7" i="5"/>
  <c r="Q20" i="5"/>
  <c r="AF30" i="5"/>
  <c r="R36" i="5"/>
  <c r="AF38" i="5"/>
  <c r="P60" i="5"/>
  <c r="P103" i="5"/>
  <c r="Z165" i="5"/>
  <c r="AB165" i="5"/>
  <c r="AA7" i="5"/>
  <c r="T11" i="5"/>
  <c r="P5" i="5"/>
  <c r="Q9" i="5"/>
  <c r="U13" i="5"/>
  <c r="Q5" i="5"/>
  <c r="Q86" i="5"/>
  <c r="S136" i="5"/>
  <c r="AC145" i="5"/>
  <c r="Q84" i="5"/>
  <c r="R86" i="5"/>
  <c r="V21" i="5"/>
  <c r="Z61" i="5"/>
  <c r="T67" i="5"/>
  <c r="AC70" i="5"/>
  <c r="AC78" i="5"/>
  <c r="AC119" i="5"/>
  <c r="S159" i="5"/>
  <c r="R10" i="5"/>
  <c r="Z21" i="5"/>
  <c r="V29" i="5"/>
  <c r="AA37" i="5"/>
  <c r="P59" i="5"/>
  <c r="AA61" i="5"/>
  <c r="U67" i="5"/>
  <c r="AD70" i="5"/>
  <c r="S125" i="5"/>
  <c r="P8" i="5"/>
  <c r="V10" i="5"/>
  <c r="U12" i="5"/>
  <c r="P19" i="5"/>
  <c r="AA21" i="5"/>
  <c r="AB29" i="5"/>
  <c r="AB37" i="5"/>
  <c r="Q59" i="5"/>
  <c r="Q92" i="5"/>
  <c r="T134" i="5"/>
  <c r="AC143" i="5"/>
  <c r="S154" i="5"/>
  <c r="S6" i="5"/>
  <c r="Q8" i="5"/>
  <c r="Z10" i="5"/>
  <c r="AA12" i="5"/>
  <c r="AC73" i="5"/>
  <c r="U134" i="5"/>
  <c r="AD143" i="5"/>
  <c r="T6" i="5"/>
  <c r="R8" i="5"/>
  <c r="AB12" i="5"/>
  <c r="U14" i="5"/>
  <c r="AC51" i="5"/>
  <c r="AF73" i="5"/>
  <c r="V99" i="5"/>
  <c r="Z123" i="5"/>
  <c r="R20" i="5"/>
  <c r="V28" i="5"/>
  <c r="U36" i="5"/>
  <c r="AF97" i="5"/>
  <c r="AB121" i="5"/>
  <c r="V13" i="5"/>
  <c r="AD47" i="5"/>
  <c r="Z110" i="5"/>
  <c r="AD139" i="5"/>
  <c r="P3" i="5"/>
  <c r="T136" i="5"/>
  <c r="Z54" i="5"/>
  <c r="AA54" i="5"/>
  <c r="Q85" i="5"/>
  <c r="AC87" i="5"/>
  <c r="R152" i="5"/>
  <c r="AD22" i="5"/>
  <c r="R85" i="5"/>
  <c r="AB90" i="5"/>
  <c r="AE141" i="5"/>
  <c r="U152" i="5"/>
  <c r="Z7" i="5"/>
  <c r="S11" i="5"/>
  <c r="P9" i="5"/>
  <c r="T13" i="5"/>
  <c r="S20" i="5"/>
  <c r="Z28" i="5"/>
  <c r="Z11" i="5"/>
  <c r="R3" i="5"/>
  <c r="S78" i="5"/>
  <c r="R84" i="5"/>
  <c r="Q101" i="5"/>
  <c r="AB119" i="5"/>
  <c r="AD14" i="5"/>
  <c r="P27" i="5"/>
  <c r="U43" i="5"/>
  <c r="AD51" i="5"/>
  <c r="AB87" i="5"/>
  <c r="AE99" i="5"/>
  <c r="AC123" i="5"/>
  <c r="Q2" i="5"/>
  <c r="R4" i="5"/>
  <c r="V43" i="5"/>
  <c r="AD62" i="5"/>
  <c r="R2" i="5"/>
  <c r="AE30" i="5"/>
  <c r="AE38" i="5"/>
  <c r="AF112" i="5"/>
  <c r="AE132" i="5"/>
  <c r="AF141" i="5"/>
  <c r="K43" i="5"/>
  <c r="N43" i="5" s="1"/>
  <c r="N137" i="5"/>
  <c r="N44" i="5"/>
  <c r="N81" i="5"/>
  <c r="N47" i="5"/>
  <c r="R48" i="5"/>
  <c r="AE49" i="5"/>
  <c r="AB52" i="5"/>
  <c r="T56" i="5"/>
  <c r="Z57" i="5"/>
  <c r="AC58" i="5"/>
  <c r="U63" i="5"/>
  <c r="AE66" i="5"/>
  <c r="P71" i="5"/>
  <c r="Z74" i="5"/>
  <c r="U79" i="5"/>
  <c r="V82" i="5"/>
  <c r="AD83" i="5"/>
  <c r="T88" i="5"/>
  <c r="AE91" i="5"/>
  <c r="P93" i="5"/>
  <c r="AB100" i="5"/>
  <c r="P102" i="5"/>
  <c r="AC104" i="5"/>
  <c r="U106" i="5"/>
  <c r="Q117" i="5"/>
  <c r="AF118" i="5"/>
  <c r="AD120" i="5"/>
  <c r="V126" i="5"/>
  <c r="Q137" i="5"/>
  <c r="AD140" i="5"/>
  <c r="AB146" i="5"/>
  <c r="P159" i="5"/>
  <c r="AE3" i="5"/>
  <c r="AA16" i="5"/>
  <c r="AA17" i="5"/>
  <c r="AD18" i="5"/>
  <c r="N21" i="5"/>
  <c r="V23" i="5"/>
  <c r="R24" i="5"/>
  <c r="Q25" i="5"/>
  <c r="Q30" i="5"/>
  <c r="Z31" i="5"/>
  <c r="S32" i="5"/>
  <c r="T33" i="5"/>
  <c r="AA34" i="5"/>
  <c r="AC39" i="5"/>
  <c r="AD40" i="5"/>
  <c r="AE41" i="5"/>
  <c r="R44" i="5"/>
  <c r="AE45" i="5"/>
  <c r="V48" i="5"/>
  <c r="AF49" i="5"/>
  <c r="AC52" i="5"/>
  <c r="P55" i="5"/>
  <c r="U56" i="5"/>
  <c r="AD57" i="5"/>
  <c r="AD58" i="5"/>
  <c r="AA63" i="5"/>
  <c r="AF66" i="5"/>
  <c r="AA71" i="5"/>
  <c r="AA74" i="5"/>
  <c r="V79" i="5"/>
  <c r="R81" i="5"/>
  <c r="Z82" i="5"/>
  <c r="U88" i="5"/>
  <c r="AF91" i="5"/>
  <c r="T93" i="5"/>
  <c r="N95" i="5"/>
  <c r="N97" i="5"/>
  <c r="AE100" i="5"/>
  <c r="S102" i="5"/>
  <c r="AD104" i="5"/>
  <c r="Z106" i="5"/>
  <c r="N110" i="5"/>
  <c r="U117" i="5"/>
  <c r="AE120" i="5"/>
  <c r="AB126" i="5"/>
  <c r="R137" i="5"/>
  <c r="AF146" i="5"/>
  <c r="Q155" i="5"/>
  <c r="R159" i="5"/>
  <c r="K54" i="5"/>
  <c r="N54" i="5" s="1"/>
  <c r="P12" i="5"/>
  <c r="P15" i="5"/>
  <c r="AB16" i="5"/>
  <c r="AF17" i="5"/>
  <c r="AE18" i="5"/>
  <c r="R22" i="5"/>
  <c r="Z23" i="5"/>
  <c r="S24" i="5"/>
  <c r="V25" i="5"/>
  <c r="Q29" i="5"/>
  <c r="R30" i="5"/>
  <c r="AA31" i="5"/>
  <c r="T32" i="5"/>
  <c r="Z33" i="5"/>
  <c r="AF34" i="5"/>
  <c r="R38" i="5"/>
  <c r="AD39" i="5"/>
  <c r="V44" i="5"/>
  <c r="AD48" i="5"/>
  <c r="Q55" i="5"/>
  <c r="AB56" i="5"/>
  <c r="AE57" i="5"/>
  <c r="T62" i="5"/>
  <c r="AC63" i="5"/>
  <c r="AB71" i="5"/>
  <c r="AD74" i="5"/>
  <c r="N76" i="5"/>
  <c r="N78" i="5"/>
  <c r="AA79" i="5"/>
  <c r="S81" i="5"/>
  <c r="AA82" i="5"/>
  <c r="V88" i="5"/>
  <c r="AE93" i="5"/>
  <c r="AF100" i="5"/>
  <c r="U102" i="5"/>
  <c r="AE104" i="5"/>
  <c r="AF106" i="5"/>
  <c r="AF108" i="5"/>
  <c r="AB117" i="5"/>
  <c r="AC126" i="5"/>
  <c r="K84" i="5"/>
  <c r="N84" i="5" s="1"/>
  <c r="T137" i="5"/>
  <c r="P148" i="5"/>
  <c r="U153" i="5"/>
  <c r="AD155" i="5"/>
  <c r="P157" i="5"/>
  <c r="K163" i="5"/>
  <c r="N104" i="5"/>
  <c r="U167" i="5"/>
  <c r="AE166" i="5"/>
  <c r="S165" i="5"/>
  <c r="AC164" i="5"/>
  <c r="Q163" i="5"/>
  <c r="AA162" i="5"/>
  <c r="V160" i="5"/>
  <c r="AF159" i="5"/>
  <c r="T158" i="5"/>
  <c r="AD157" i="5"/>
  <c r="R156" i="5"/>
  <c r="AB155" i="5"/>
  <c r="P154" i="5"/>
  <c r="Z153" i="5"/>
  <c r="U151" i="5"/>
  <c r="AE150" i="5"/>
  <c r="S149" i="5"/>
  <c r="AC148" i="5"/>
  <c r="Q147" i="5"/>
  <c r="AA146" i="5"/>
  <c r="V144" i="5"/>
  <c r="AF143" i="5"/>
  <c r="T142" i="5"/>
  <c r="AD141" i="5"/>
  <c r="R140" i="5"/>
  <c r="AB139" i="5"/>
  <c r="P138" i="5"/>
  <c r="Z137" i="5"/>
  <c r="U135" i="5"/>
  <c r="AE134" i="5"/>
  <c r="S133" i="5"/>
  <c r="AC132" i="5"/>
  <c r="Q131" i="5"/>
  <c r="AA130" i="5"/>
  <c r="V128" i="5"/>
  <c r="AF127" i="5"/>
  <c r="T126" i="5"/>
  <c r="AD125" i="5"/>
  <c r="R124" i="5"/>
  <c r="AB123" i="5"/>
  <c r="P122" i="5"/>
  <c r="Z121" i="5"/>
  <c r="U119" i="5"/>
  <c r="AE118" i="5"/>
  <c r="S117" i="5"/>
  <c r="AC116" i="5"/>
  <c r="Q115" i="5"/>
  <c r="AA114" i="5"/>
  <c r="V112" i="5"/>
  <c r="AF111" i="5"/>
  <c r="T110" i="5"/>
  <c r="AD109" i="5"/>
  <c r="R108" i="5"/>
  <c r="AB107" i="5"/>
  <c r="P106" i="5"/>
  <c r="Z105" i="5"/>
  <c r="U103" i="5"/>
  <c r="AE102" i="5"/>
  <c r="S101" i="5"/>
  <c r="AC100" i="5"/>
  <c r="Q99" i="5"/>
  <c r="AA98" i="5"/>
  <c r="V96" i="5"/>
  <c r="AF95" i="5"/>
  <c r="T94" i="5"/>
  <c r="T167" i="5"/>
  <c r="AD166" i="5"/>
  <c r="R165" i="5"/>
  <c r="AB164" i="5"/>
  <c r="P163" i="5"/>
  <c r="Z162" i="5"/>
  <c r="U160" i="5"/>
  <c r="AE159" i="5"/>
  <c r="S158" i="5"/>
  <c r="AC157" i="5"/>
  <c r="Q156" i="5"/>
  <c r="AA155" i="5"/>
  <c r="V153" i="5"/>
  <c r="AF152" i="5"/>
  <c r="T151" i="5"/>
  <c r="AD150" i="5"/>
  <c r="R149" i="5"/>
  <c r="AB148" i="5"/>
  <c r="P147" i="5"/>
  <c r="Z146" i="5"/>
  <c r="U144" i="5"/>
  <c r="AE143" i="5"/>
  <c r="S142" i="5"/>
  <c r="AC141" i="5"/>
  <c r="Q140" i="5"/>
  <c r="AA139" i="5"/>
  <c r="V137" i="5"/>
  <c r="AF136" i="5"/>
  <c r="T135" i="5"/>
  <c r="AD134" i="5"/>
  <c r="R133" i="5"/>
  <c r="AB132" i="5"/>
  <c r="P131" i="5"/>
  <c r="Z130" i="5"/>
  <c r="U128" i="5"/>
  <c r="AE127" i="5"/>
  <c r="S126" i="5"/>
  <c r="AC125" i="5"/>
  <c r="Q124" i="5"/>
  <c r="AA123" i="5"/>
  <c r="V121" i="5"/>
  <c r="AF120" i="5"/>
  <c r="T119" i="5"/>
  <c r="AD118" i="5"/>
  <c r="R117" i="5"/>
  <c r="AB116" i="5"/>
  <c r="P115" i="5"/>
  <c r="Z114" i="5"/>
  <c r="U112" i="5"/>
  <c r="AE111" i="5"/>
  <c r="S167" i="5"/>
  <c r="AA166" i="5"/>
  <c r="Q164" i="5"/>
  <c r="AA163" i="5"/>
  <c r="AF162" i="5"/>
  <c r="R161" i="5"/>
  <c r="Z160" i="5"/>
  <c r="AC159" i="5"/>
  <c r="R157" i="5"/>
  <c r="R167" i="5"/>
  <c r="Z166" i="5"/>
  <c r="AF165" i="5"/>
  <c r="P164" i="5"/>
  <c r="Z163" i="5"/>
  <c r="AE162" i="5"/>
  <c r="Q161" i="5"/>
  <c r="Q167" i="5"/>
  <c r="T165" i="5"/>
  <c r="Z164" i="5"/>
  <c r="AE163" i="5"/>
  <c r="P161" i="5"/>
  <c r="R160" i="5"/>
  <c r="V159" i="5"/>
  <c r="AC158" i="5"/>
  <c r="P156" i="5"/>
  <c r="U155" i="5"/>
  <c r="AD154" i="5"/>
  <c r="T152" i="5"/>
  <c r="AB151" i="5"/>
  <c r="P149" i="5"/>
  <c r="U148" i="5"/>
  <c r="AE147" i="5"/>
  <c r="V145" i="5"/>
  <c r="AD144" i="5"/>
  <c r="Q142" i="5"/>
  <c r="V141" i="5"/>
  <c r="AF140" i="5"/>
  <c r="P139" i="5"/>
  <c r="V138" i="5"/>
  <c r="AD137" i="5"/>
  <c r="R135" i="5"/>
  <c r="Z134" i="5"/>
  <c r="AF133" i="5"/>
  <c r="P132" i="5"/>
  <c r="Z131" i="5"/>
  <c r="AE130" i="5"/>
  <c r="Q129" i="5"/>
  <c r="T128" i="5"/>
  <c r="AB127" i="5"/>
  <c r="Q125" i="5"/>
  <c r="AA124" i="5"/>
  <c r="AF123" i="5"/>
  <c r="Q122" i="5"/>
  <c r="T121" i="5"/>
  <c r="AC120" i="5"/>
  <c r="R118" i="5"/>
  <c r="AA117" i="5"/>
  <c r="AF116" i="5"/>
  <c r="R115" i="5"/>
  <c r="U114" i="5"/>
  <c r="AE113" i="5"/>
  <c r="T111" i="5"/>
  <c r="AC110" i="5"/>
  <c r="V108" i="5"/>
  <c r="AE107" i="5"/>
  <c r="R106" i="5"/>
  <c r="AA105" i="5"/>
  <c r="S103" i="5"/>
  <c r="AB102" i="5"/>
  <c r="T100" i="5"/>
  <c r="AD99" i="5"/>
  <c r="P98" i="5"/>
  <c r="V97" i="5"/>
  <c r="AE96" i="5"/>
  <c r="Q95" i="5"/>
  <c r="Z94" i="5"/>
  <c r="AF93" i="5"/>
  <c r="T92" i="5"/>
  <c r="AD91" i="5"/>
  <c r="R90" i="5"/>
  <c r="AB89" i="5"/>
  <c r="P88" i="5"/>
  <c r="Z87" i="5"/>
  <c r="U85" i="5"/>
  <c r="AE84" i="5"/>
  <c r="S83" i="5"/>
  <c r="AC82" i="5"/>
  <c r="Q81" i="5"/>
  <c r="AA80" i="5"/>
  <c r="V78" i="5"/>
  <c r="AF77" i="5"/>
  <c r="T76" i="5"/>
  <c r="AD75" i="5"/>
  <c r="R74" i="5"/>
  <c r="AB73" i="5"/>
  <c r="P72" i="5"/>
  <c r="Z71" i="5"/>
  <c r="U69" i="5"/>
  <c r="AE68" i="5"/>
  <c r="S67" i="5"/>
  <c r="AC66" i="5"/>
  <c r="Q65" i="5"/>
  <c r="AA64" i="5"/>
  <c r="V62" i="5"/>
  <c r="AF61" i="5"/>
  <c r="T60" i="5"/>
  <c r="AD59" i="5"/>
  <c r="R58" i="5"/>
  <c r="AB57" i="5"/>
  <c r="P56" i="5"/>
  <c r="Z55" i="5"/>
  <c r="U53" i="5"/>
  <c r="AE52" i="5"/>
  <c r="S51" i="5"/>
  <c r="AC50" i="5"/>
  <c r="Q49" i="5"/>
  <c r="AA48" i="5"/>
  <c r="V46" i="5"/>
  <c r="AF45" i="5"/>
  <c r="T44" i="5"/>
  <c r="AD43" i="5"/>
  <c r="R42" i="5"/>
  <c r="AB41" i="5"/>
  <c r="P40" i="5"/>
  <c r="Z39" i="5"/>
  <c r="U37" i="5"/>
  <c r="AE36" i="5"/>
  <c r="S35" i="5"/>
  <c r="AC34" i="5"/>
  <c r="Q33" i="5"/>
  <c r="AA32" i="5"/>
  <c r="V30" i="5"/>
  <c r="AF29" i="5"/>
  <c r="T28" i="5"/>
  <c r="AD27" i="5"/>
  <c r="R26" i="5"/>
  <c r="Q165" i="5"/>
  <c r="V164" i="5"/>
  <c r="AD163" i="5"/>
  <c r="Q160" i="5"/>
  <c r="U159" i="5"/>
  <c r="AB158" i="5"/>
  <c r="AF157" i="5"/>
  <c r="T155" i="5"/>
  <c r="AC154" i="5"/>
  <c r="S152" i="5"/>
  <c r="AA151" i="5"/>
  <c r="AF150" i="5"/>
  <c r="T148" i="5"/>
  <c r="AD147" i="5"/>
  <c r="U145" i="5"/>
  <c r="AC144" i="5"/>
  <c r="P142" i="5"/>
  <c r="U141" i="5"/>
  <c r="AE140" i="5"/>
  <c r="U138" i="5"/>
  <c r="AC137" i="5"/>
  <c r="Q135" i="5"/>
  <c r="V134" i="5"/>
  <c r="AE133" i="5"/>
  <c r="V131" i="5"/>
  <c r="AD130" i="5"/>
  <c r="P129" i="5"/>
  <c r="S128" i="5"/>
  <c r="AA127" i="5"/>
  <c r="AF126" i="5"/>
  <c r="P125" i="5"/>
  <c r="Z124" i="5"/>
  <c r="AE123" i="5"/>
  <c r="S121" i="5"/>
  <c r="AB120" i="5"/>
  <c r="Q118" i="5"/>
  <c r="Z117" i="5"/>
  <c r="AE116" i="5"/>
  <c r="T114" i="5"/>
  <c r="AD113" i="5"/>
  <c r="S111" i="5"/>
  <c r="AB110" i="5"/>
  <c r="U108" i="5"/>
  <c r="AD107" i="5"/>
  <c r="Q106" i="5"/>
  <c r="V105" i="5"/>
  <c r="AF104" i="5"/>
  <c r="R103" i="5"/>
  <c r="AA102" i="5"/>
  <c r="S100" i="5"/>
  <c r="AC99" i="5"/>
  <c r="P166" i="5"/>
  <c r="R164" i="5"/>
  <c r="S163" i="5"/>
  <c r="S162" i="5"/>
  <c r="AC161" i="5"/>
  <c r="AD160" i="5"/>
  <c r="AD159" i="5"/>
  <c r="AE158" i="5"/>
  <c r="P155" i="5"/>
  <c r="T154" i="5"/>
  <c r="AA153" i="5"/>
  <c r="AC152" i="5"/>
  <c r="AF151" i="5"/>
  <c r="Q149" i="5"/>
  <c r="R148" i="5"/>
  <c r="Z147" i="5"/>
  <c r="AE146" i="5"/>
  <c r="R143" i="5"/>
  <c r="V142" i="5"/>
  <c r="Z141" i="5"/>
  <c r="AC140" i="5"/>
  <c r="P137" i="5"/>
  <c r="V136" i="5"/>
  <c r="AB135" i="5"/>
  <c r="AC134" i="5"/>
  <c r="R131" i="5"/>
  <c r="S130" i="5"/>
  <c r="AC129" i="5"/>
  <c r="AF128" i="5"/>
  <c r="R125" i="5"/>
  <c r="U124" i="5"/>
  <c r="V123" i="5"/>
  <c r="AE122" i="5"/>
  <c r="Q119" i="5"/>
  <c r="T118" i="5"/>
  <c r="V117" i="5"/>
  <c r="Z116" i="5"/>
  <c r="R113" i="5"/>
  <c r="Z112" i="5"/>
  <c r="AA111" i="5"/>
  <c r="AE110" i="5"/>
  <c r="P108" i="5"/>
  <c r="T107" i="5"/>
  <c r="AD106" i="5"/>
  <c r="R104" i="5"/>
  <c r="V103" i="5"/>
  <c r="Z102" i="5"/>
  <c r="AE101" i="5"/>
  <c r="R99" i="5"/>
  <c r="Z98" i="5"/>
  <c r="AE97" i="5"/>
  <c r="U95" i="5"/>
  <c r="AC94" i="5"/>
  <c r="S92" i="5"/>
  <c r="AB91" i="5"/>
  <c r="U89" i="5"/>
  <c r="AE88" i="5"/>
  <c r="Q87" i="5"/>
  <c r="AA86" i="5"/>
  <c r="S84" i="5"/>
  <c r="AB83" i="5"/>
  <c r="U81" i="5"/>
  <c r="AD80" i="5"/>
  <c r="P79" i="5"/>
  <c r="U78" i="5"/>
  <c r="AD77" i="5"/>
  <c r="P76" i="5"/>
  <c r="V75" i="5"/>
  <c r="AF74" i="5"/>
  <c r="R73" i="5"/>
  <c r="AB72" i="5"/>
  <c r="U70" i="5"/>
  <c r="AD69" i="5"/>
  <c r="AA167" i="5"/>
  <c r="U166" i="5"/>
  <c r="AA165" i="5"/>
  <c r="AD164" i="5"/>
  <c r="AC163" i="5"/>
  <c r="AC162" i="5"/>
  <c r="V156" i="5"/>
  <c r="Z155" i="5"/>
  <c r="AB154" i="5"/>
  <c r="AF153" i="5"/>
  <c r="R150" i="5"/>
  <c r="AA149" i="5"/>
  <c r="AD148" i="5"/>
  <c r="R145" i="5"/>
  <c r="S144" i="5"/>
  <c r="Z143" i="5"/>
  <c r="AD142" i="5"/>
  <c r="R139" i="5"/>
  <c r="T138" i="5"/>
  <c r="U137" i="5"/>
  <c r="AD136" i="5"/>
  <c r="T132" i="5"/>
  <c r="AB131" i="5"/>
  <c r="AC130" i="5"/>
  <c r="Q127" i="5"/>
  <c r="U126" i="5"/>
  <c r="Z125" i="5"/>
  <c r="AE124" i="5"/>
  <c r="P121" i="5"/>
  <c r="T120" i="5"/>
  <c r="AA119" i="5"/>
  <c r="AB118" i="5"/>
  <c r="AF117" i="5"/>
  <c r="S115" i="5"/>
  <c r="R114" i="5"/>
  <c r="Z113" i="5"/>
  <c r="AE112" i="5"/>
  <c r="S109" i="5"/>
  <c r="AA108" i="5"/>
  <c r="AC107" i="5"/>
  <c r="Q105" i="5"/>
  <c r="Z104" i="5"/>
  <c r="AD103" i="5"/>
  <c r="P101" i="5"/>
  <c r="R100" i="5"/>
  <c r="Z99" i="5"/>
  <c r="AF98" i="5"/>
  <c r="P97" i="5"/>
  <c r="T96" i="5"/>
  <c r="AC95" i="5"/>
  <c r="S93" i="5"/>
  <c r="AB92" i="5"/>
  <c r="U90" i="5"/>
  <c r="AC167" i="5"/>
  <c r="T166" i="5"/>
  <c r="U165" i="5"/>
  <c r="S164" i="5"/>
  <c r="U161" i="5"/>
  <c r="P160" i="5"/>
  <c r="Q159" i="5"/>
  <c r="P158" i="5"/>
  <c r="Q157" i="5"/>
  <c r="Z156" i="5"/>
  <c r="S155" i="5"/>
  <c r="U154" i="5"/>
  <c r="T153" i="5"/>
  <c r="Z152" i="5"/>
  <c r="Z151" i="5"/>
  <c r="AA150" i="5"/>
  <c r="AE149" i="5"/>
  <c r="AF148" i="5"/>
  <c r="S140" i="5"/>
  <c r="T139" i="5"/>
  <c r="Z138" i="5"/>
  <c r="S137" i="5"/>
  <c r="Z136" i="5"/>
  <c r="AA135" i="5"/>
  <c r="AA134" i="5"/>
  <c r="AB133" i="5"/>
  <c r="AF132" i="5"/>
  <c r="P123" i="5"/>
  <c r="U122" i="5"/>
  <c r="R121" i="5"/>
  <c r="U120" i="5"/>
  <c r="V119" i="5"/>
  <c r="U118" i="5"/>
  <c r="T117" i="5"/>
  <c r="T116" i="5"/>
  <c r="AC115" i="5"/>
  <c r="AE114" i="5"/>
  <c r="AF113" i="5"/>
  <c r="P107" i="5"/>
  <c r="V106" i="5"/>
  <c r="U105" i="5"/>
  <c r="AB104" i="5"/>
  <c r="AC103" i="5"/>
  <c r="AD102" i="5"/>
  <c r="AF101" i="5"/>
  <c r="S97" i="5"/>
  <c r="Z96" i="5"/>
  <c r="AB95" i="5"/>
  <c r="AE94" i="5"/>
  <c r="R91" i="5"/>
  <c r="AA90" i="5"/>
  <c r="AE89" i="5"/>
  <c r="U87" i="5"/>
  <c r="AD86" i="5"/>
  <c r="T84" i="5"/>
  <c r="AA83" i="5"/>
  <c r="AF82" i="5"/>
  <c r="P81" i="5"/>
  <c r="U80" i="5"/>
  <c r="AD79" i="5"/>
  <c r="S77" i="5"/>
  <c r="AB76" i="5"/>
  <c r="Q74" i="5"/>
  <c r="P167" i="5"/>
  <c r="P153" i="5"/>
  <c r="Q152" i="5"/>
  <c r="Q151" i="5"/>
  <c r="T150" i="5"/>
  <c r="Z149" i="5"/>
  <c r="V148" i="5"/>
  <c r="AA147" i="5"/>
  <c r="AD146" i="5"/>
  <c r="AF145" i="5"/>
  <c r="R136" i="5"/>
  <c r="P135" i="5"/>
  <c r="R134" i="5"/>
  <c r="U133" i="5"/>
  <c r="Z132" i="5"/>
  <c r="AC131" i="5"/>
  <c r="V130" i="5"/>
  <c r="AE129" i="5"/>
  <c r="P120" i="5"/>
  <c r="P116" i="5"/>
  <c r="V115" i="5"/>
  <c r="V114" i="5"/>
  <c r="V113" i="5"/>
  <c r="AB112" i="5"/>
  <c r="Z111" i="5"/>
  <c r="AA110" i="5"/>
  <c r="AE109" i="5"/>
  <c r="P105" i="5"/>
  <c r="T104" i="5"/>
  <c r="T103" i="5"/>
  <c r="T102" i="5"/>
  <c r="AA101" i="5"/>
  <c r="AD100" i="5"/>
  <c r="AF99" i="5"/>
  <c r="Q96" i="5"/>
  <c r="T95" i="5"/>
  <c r="V94" i="5"/>
  <c r="AB93" i="5"/>
  <c r="AF92" i="5"/>
  <c r="S90" i="5"/>
  <c r="Z89" i="5"/>
  <c r="AF88" i="5"/>
  <c r="P87" i="5"/>
  <c r="V86" i="5"/>
  <c r="AE85" i="5"/>
  <c r="T83" i="5"/>
  <c r="AF164" i="5"/>
  <c r="U163" i="5"/>
  <c r="Q162" i="5"/>
  <c r="V161" i="5"/>
  <c r="AD153" i="5"/>
  <c r="AB152" i="5"/>
  <c r="V151" i="5"/>
  <c r="U150" i="5"/>
  <c r="U149" i="5"/>
  <c r="R147" i="5"/>
  <c r="S146" i="5"/>
  <c r="T145" i="5"/>
  <c r="Q144" i="5"/>
  <c r="Q143" i="5"/>
  <c r="AF135" i="5"/>
  <c r="AF134" i="5"/>
  <c r="AA133" i="5"/>
  <c r="AA132" i="5"/>
  <c r="AA131" i="5"/>
  <c r="R130" i="5"/>
  <c r="Z129" i="5"/>
  <c r="AB128" i="5"/>
  <c r="V127" i="5"/>
  <c r="AA126" i="5"/>
  <c r="V125" i="5"/>
  <c r="V124" i="5"/>
  <c r="S123" i="5"/>
  <c r="V122" i="5"/>
  <c r="AF115" i="5"/>
  <c r="AF114" i="5"/>
  <c r="AB113" i="5"/>
  <c r="AC112" i="5"/>
  <c r="V111" i="5"/>
  <c r="U110" i="5"/>
  <c r="Z109" i="5"/>
  <c r="AC108" i="5"/>
  <c r="Z107" i="5"/>
  <c r="AC106" i="5"/>
  <c r="AC105" i="5"/>
  <c r="AA104" i="5"/>
  <c r="Z103" i="5"/>
  <c r="R102" i="5"/>
  <c r="T101" i="5"/>
  <c r="Q100" i="5"/>
  <c r="S99" i="5"/>
  <c r="S98" i="5"/>
  <c r="U97" i="5"/>
  <c r="U96" i="5"/>
  <c r="V95" i="5"/>
  <c r="S94" i="5"/>
  <c r="V93" i="5"/>
  <c r="AA92" i="5"/>
  <c r="AC91" i="5"/>
  <c r="AF90" i="5"/>
  <c r="S87" i="5"/>
  <c r="U86" i="5"/>
  <c r="AC85" i="5"/>
  <c r="P82" i="5"/>
  <c r="V81" i="5"/>
  <c r="AB80" i="5"/>
  <c r="AF79" i="5"/>
  <c r="R77" i="5"/>
  <c r="Z76" i="5"/>
  <c r="AE75" i="5"/>
  <c r="Q73" i="5"/>
  <c r="Z72" i="5"/>
  <c r="AE71" i="5"/>
  <c r="P70" i="5"/>
  <c r="T69" i="5"/>
  <c r="AC68" i="5"/>
  <c r="U66" i="5"/>
  <c r="AE65" i="5"/>
  <c r="Q64" i="5"/>
  <c r="Z63" i="5"/>
  <c r="AF62" i="5"/>
  <c r="R61" i="5"/>
  <c r="AA60" i="5"/>
  <c r="T58" i="5"/>
  <c r="AC57" i="5"/>
  <c r="U55" i="5"/>
  <c r="AE54" i="5"/>
  <c r="Q53" i="5"/>
  <c r="Z52" i="5"/>
  <c r="AF51" i="5"/>
  <c r="R50" i="5"/>
  <c r="AB49" i="5"/>
  <c r="T47" i="5"/>
  <c r="AC46" i="5"/>
  <c r="U44" i="5"/>
  <c r="AC43" i="5"/>
  <c r="P42" i="5"/>
  <c r="V41" i="5"/>
  <c r="AF40" i="5"/>
  <c r="R39" i="5"/>
  <c r="AB38" i="5"/>
  <c r="T36" i="5"/>
  <c r="AC35" i="5"/>
  <c r="V33" i="5"/>
  <c r="AE32" i="5"/>
  <c r="Q31" i="5"/>
  <c r="Z30" i="5"/>
  <c r="AE29" i="5"/>
  <c r="Q28" i="5"/>
  <c r="Z27" i="5"/>
  <c r="T25" i="5"/>
  <c r="AD24" i="5"/>
  <c r="R23" i="5"/>
  <c r="AB22" i="5"/>
  <c r="P21" i="5"/>
  <c r="Z20" i="5"/>
  <c r="U18" i="5"/>
  <c r="AE17" i="5"/>
  <c r="S16" i="5"/>
  <c r="AC15" i="5"/>
  <c r="Q14" i="5"/>
  <c r="AA13" i="5"/>
  <c r="V11" i="5"/>
  <c r="AF10" i="5"/>
  <c r="AE165" i="5"/>
  <c r="AE164" i="5"/>
  <c r="T163" i="5"/>
  <c r="P162" i="5"/>
  <c r="T161" i="5"/>
  <c r="AF154" i="5"/>
  <c r="AC153" i="5"/>
  <c r="AA152" i="5"/>
  <c r="S151" i="5"/>
  <c r="S150" i="5"/>
  <c r="T149" i="5"/>
  <c r="R146" i="5"/>
  <c r="S145" i="5"/>
  <c r="P144" i="5"/>
  <c r="P143" i="5"/>
  <c r="AE135" i="5"/>
  <c r="AB134" i="5"/>
  <c r="Z133" i="5"/>
  <c r="V132" i="5"/>
  <c r="U131" i="5"/>
  <c r="Q130" i="5"/>
  <c r="V129" i="5"/>
  <c r="AA128" i="5"/>
  <c r="U127" i="5"/>
  <c r="Z126" i="5"/>
  <c r="U125" i="5"/>
  <c r="T124" i="5"/>
  <c r="R123" i="5"/>
  <c r="T122" i="5"/>
  <c r="AD116" i="5"/>
  <c r="AE115" i="5"/>
  <c r="AD114" i="5"/>
  <c r="AA113" i="5"/>
  <c r="AA112" i="5"/>
  <c r="U111" i="5"/>
  <c r="S110" i="5"/>
  <c r="V109" i="5"/>
  <c r="AB108" i="5"/>
  <c r="V107" i="5"/>
  <c r="AB106" i="5"/>
  <c r="AB105" i="5"/>
  <c r="V104" i="5"/>
  <c r="Q103" i="5"/>
  <c r="Q102" i="5"/>
  <c r="R101" i="5"/>
  <c r="P100" i="5"/>
  <c r="P99" i="5"/>
  <c r="R98" i="5"/>
  <c r="T97" i="5"/>
  <c r="S96" i="5"/>
  <c r="S95" i="5"/>
  <c r="R94" i="5"/>
  <c r="U93" i="5"/>
  <c r="Z92" i="5"/>
  <c r="AA91" i="5"/>
  <c r="AE90" i="5"/>
  <c r="R87" i="5"/>
  <c r="T86" i="5"/>
  <c r="AB85" i="5"/>
  <c r="AF84" i="5"/>
  <c r="T81" i="5"/>
  <c r="Z80" i="5"/>
  <c r="AE79" i="5"/>
  <c r="Q77" i="5"/>
  <c r="V76" i="5"/>
  <c r="AC75" i="5"/>
  <c r="P73" i="5"/>
  <c r="V72" i="5"/>
  <c r="AD71" i="5"/>
  <c r="S69" i="5"/>
  <c r="AB68" i="5"/>
  <c r="T66" i="5"/>
  <c r="AD65" i="5"/>
  <c r="P64" i="5"/>
  <c r="V63" i="5"/>
  <c r="AE62" i="5"/>
  <c r="Q61" i="5"/>
  <c r="Z60" i="5"/>
  <c r="AF59" i="5"/>
  <c r="S58" i="5"/>
  <c r="AA57" i="5"/>
  <c r="T55" i="5"/>
  <c r="AD54" i="5"/>
  <c r="P53" i="5"/>
  <c r="V52" i="5"/>
  <c r="AE51" i="5"/>
  <c r="Q50" i="5"/>
  <c r="AA49" i="5"/>
  <c r="S47" i="5"/>
  <c r="AB46" i="5"/>
  <c r="S44" i="5"/>
  <c r="AB43" i="5"/>
  <c r="U41" i="5"/>
  <c r="AE40" i="5"/>
  <c r="Q39" i="5"/>
  <c r="AA38" i="5"/>
  <c r="S36" i="5"/>
  <c r="AB35" i="5"/>
  <c r="U33" i="5"/>
  <c r="AD32" i="5"/>
  <c r="P31" i="5"/>
  <c r="U30" i="5"/>
  <c r="AD29" i="5"/>
  <c r="P28" i="5"/>
  <c r="V27" i="5"/>
  <c r="AF26" i="5"/>
  <c r="S25" i="5"/>
  <c r="AC24" i="5"/>
  <c r="Q23" i="5"/>
  <c r="AA22" i="5"/>
  <c r="V20" i="5"/>
  <c r="AF19" i="5"/>
  <c r="T18" i="5"/>
  <c r="AD17" i="5"/>
  <c r="R16" i="5"/>
  <c r="AB15" i="5"/>
  <c r="P14" i="5"/>
  <c r="Z13" i="5"/>
  <c r="U11" i="5"/>
  <c r="AE10" i="5"/>
  <c r="S9" i="5"/>
  <c r="AC8" i="5"/>
  <c r="Q7" i="5"/>
  <c r="AA6" i="5"/>
  <c r="V4" i="5"/>
  <c r="AF3" i="5"/>
  <c r="T2" i="5"/>
  <c r="AE167" i="5"/>
  <c r="S166" i="5"/>
  <c r="T162" i="5"/>
  <c r="S161" i="5"/>
  <c r="AF158" i="5"/>
  <c r="AB157" i="5"/>
  <c r="AE156" i="5"/>
  <c r="AC155" i="5"/>
  <c r="R154" i="5"/>
  <c r="AB150" i="5"/>
  <c r="V149" i="5"/>
  <c r="AF144" i="5"/>
  <c r="AA143" i="5"/>
  <c r="R142" i="5"/>
  <c r="P141" i="5"/>
  <c r="AC135" i="5"/>
  <c r="Q134" i="5"/>
  <c r="AD129" i="5"/>
  <c r="AC128" i="5"/>
  <c r="S127" i="5"/>
  <c r="P126" i="5"/>
  <c r="AD122" i="5"/>
  <c r="AA121" i="5"/>
  <c r="Q120" i="5"/>
  <c r="AB115" i="5"/>
  <c r="Q114" i="5"/>
  <c r="AC109" i="5"/>
  <c r="AD108" i="5"/>
  <c r="S107" i="5"/>
  <c r="T106" i="5"/>
  <c r="AF102" i="5"/>
  <c r="Z101" i="5"/>
  <c r="U100" i="5"/>
  <c r="AF94" i="5"/>
  <c r="AC93" i="5"/>
  <c r="AC92" i="5"/>
  <c r="V91" i="5"/>
  <c r="Z90" i="5"/>
  <c r="AA89" i="5"/>
  <c r="AD88" i="5"/>
  <c r="Q80" i="5"/>
  <c r="T79" i="5"/>
  <c r="AB78" i="5"/>
  <c r="AB77" i="5"/>
  <c r="AE76" i="5"/>
  <c r="Q72" i="5"/>
  <c r="S71" i="5"/>
  <c r="AB70" i="5"/>
  <c r="AE69" i="5"/>
  <c r="P67" i="5"/>
  <c r="R66" i="5"/>
  <c r="Z65" i="5"/>
  <c r="AF64" i="5"/>
  <c r="Q62" i="5"/>
  <c r="V61" i="5"/>
  <c r="AC60" i="5"/>
  <c r="R57" i="5"/>
  <c r="AA56" i="5"/>
  <c r="AE55" i="5"/>
  <c r="S53" i="5"/>
  <c r="U52" i="5"/>
  <c r="AB51" i="5"/>
  <c r="U48" i="5"/>
  <c r="AB47" i="5"/>
  <c r="AF46" i="5"/>
  <c r="P44" i="5"/>
  <c r="T43" i="5"/>
  <c r="AD42" i="5"/>
  <c r="Q40" i="5"/>
  <c r="U39" i="5"/>
  <c r="AC38" i="5"/>
  <c r="R35" i="5"/>
  <c r="Z34" i="5"/>
  <c r="AE33" i="5"/>
  <c r="S31" i="5"/>
  <c r="T30" i="5"/>
  <c r="AA29" i="5"/>
  <c r="U26" i="5"/>
  <c r="AB25" i="5"/>
  <c r="S23" i="5"/>
  <c r="V22" i="5"/>
  <c r="AE21" i="5"/>
  <c r="U19" i="5"/>
  <c r="AC18" i="5"/>
  <c r="Q16" i="5"/>
  <c r="V15" i="5"/>
  <c r="AF14" i="5"/>
  <c r="P13" i="5"/>
  <c r="Z12" i="5"/>
  <c r="AE11" i="5"/>
  <c r="U9" i="5"/>
  <c r="AD8" i="5"/>
  <c r="P7" i="5"/>
  <c r="V6" i="5"/>
  <c r="AE5" i="5"/>
  <c r="Q4" i="5"/>
  <c r="Z3" i="5"/>
  <c r="AF2" i="5"/>
  <c r="AC156" i="5"/>
  <c r="V150" i="5"/>
  <c r="U143" i="5"/>
  <c r="AC136" i="5"/>
  <c r="AB130" i="5"/>
  <c r="R128" i="5"/>
  <c r="AB122" i="5"/>
  <c r="V116" i="5"/>
  <c r="V102" i="5"/>
  <c r="U101" i="5"/>
  <c r="AB94" i="5"/>
  <c r="Z93" i="5"/>
  <c r="T91" i="5"/>
  <c r="T90" i="5"/>
  <c r="AB88" i="5"/>
  <c r="AF86" i="5"/>
  <c r="Z78" i="5"/>
  <c r="AC76" i="5"/>
  <c r="AE74" i="5"/>
  <c r="Q71" i="5"/>
  <c r="Z70" i="5"/>
  <c r="AB69" i="5"/>
  <c r="AF68" i="5"/>
  <c r="T61" i="5"/>
  <c r="V60" i="5"/>
  <c r="Z47" i="5"/>
  <c r="R43" i="5"/>
  <c r="AF41" i="5"/>
  <c r="AD167" i="5"/>
  <c r="R166" i="5"/>
  <c r="AF163" i="5"/>
  <c r="R162" i="5"/>
  <c r="AD158" i="5"/>
  <c r="AA157" i="5"/>
  <c r="AD156" i="5"/>
  <c r="V155" i="5"/>
  <c r="Q154" i="5"/>
  <c r="Z150" i="5"/>
  <c r="AE144" i="5"/>
  <c r="V143" i="5"/>
  <c r="AE136" i="5"/>
  <c r="Z135" i="5"/>
  <c r="P134" i="5"/>
  <c r="AF130" i="5"/>
  <c r="AB129" i="5"/>
  <c r="Z128" i="5"/>
  <c r="R127" i="5"/>
  <c r="AC122" i="5"/>
  <c r="U121" i="5"/>
  <c r="AA116" i="5"/>
  <c r="AA115" i="5"/>
  <c r="P114" i="5"/>
  <c r="AF110" i="5"/>
  <c r="AB109" i="5"/>
  <c r="Z108" i="5"/>
  <c r="R107" i="5"/>
  <c r="S106" i="5"/>
  <c r="AC102" i="5"/>
  <c r="V101" i="5"/>
  <c r="AD94" i="5"/>
  <c r="AA93" i="5"/>
  <c r="V92" i="5"/>
  <c r="U91" i="5"/>
  <c r="V90" i="5"/>
  <c r="V89" i="5"/>
  <c r="AC88" i="5"/>
  <c r="AF87" i="5"/>
  <c r="P80" i="5"/>
  <c r="S79" i="5"/>
  <c r="AA78" i="5"/>
  <c r="AA77" i="5"/>
  <c r="AD76" i="5"/>
  <c r="AF75" i="5"/>
  <c r="R71" i="5"/>
  <c r="AA70" i="5"/>
  <c r="AC69" i="5"/>
  <c r="Q66" i="5"/>
  <c r="V65" i="5"/>
  <c r="AE64" i="5"/>
  <c r="P62" i="5"/>
  <c r="U61" i="5"/>
  <c r="AB60" i="5"/>
  <c r="AE59" i="5"/>
  <c r="Q57" i="5"/>
  <c r="Z56" i="5"/>
  <c r="AD55" i="5"/>
  <c r="R53" i="5"/>
  <c r="T52" i="5"/>
  <c r="AA51" i="5"/>
  <c r="AF50" i="5"/>
  <c r="T48" i="5"/>
  <c r="AA47" i="5"/>
  <c r="AE46" i="5"/>
  <c r="S43" i="5"/>
  <c r="AC42" i="5"/>
  <c r="T39" i="5"/>
  <c r="Z38" i="5"/>
  <c r="AF37" i="5"/>
  <c r="Q35" i="5"/>
  <c r="V34" i="5"/>
  <c r="AD33" i="5"/>
  <c r="R31" i="5"/>
  <c r="S30" i="5"/>
  <c r="Z29" i="5"/>
  <c r="AF28" i="5"/>
  <c r="T26" i="5"/>
  <c r="AA25" i="5"/>
  <c r="AF24" i="5"/>
  <c r="P23" i="5"/>
  <c r="U22" i="5"/>
  <c r="AD21" i="5"/>
  <c r="T19" i="5"/>
  <c r="AB18" i="5"/>
  <c r="P16" i="5"/>
  <c r="U15" i="5"/>
  <c r="AE14" i="5"/>
  <c r="V12" i="5"/>
  <c r="AD11" i="5"/>
  <c r="T9" i="5"/>
  <c r="AB8" i="5"/>
  <c r="U6" i="5"/>
  <c r="AD5" i="5"/>
  <c r="P4" i="5"/>
  <c r="V3" i="5"/>
  <c r="AE2" i="5"/>
  <c r="AB167" i="5"/>
  <c r="Q166" i="5"/>
  <c r="AB163" i="5"/>
  <c r="AA158" i="5"/>
  <c r="Z157" i="5"/>
  <c r="R155" i="5"/>
  <c r="AE151" i="5"/>
  <c r="AB144" i="5"/>
  <c r="AF137" i="5"/>
  <c r="V135" i="5"/>
  <c r="AA129" i="5"/>
  <c r="P127" i="5"/>
  <c r="AD123" i="5"/>
  <c r="Q121" i="5"/>
  <c r="AE117" i="5"/>
  <c r="Z115" i="5"/>
  <c r="AD110" i="5"/>
  <c r="AA109" i="5"/>
  <c r="T108" i="5"/>
  <c r="Q107" i="5"/>
  <c r="U92" i="5"/>
  <c r="T89" i="5"/>
  <c r="AE87" i="5"/>
  <c r="R79" i="5"/>
  <c r="Z77" i="5"/>
  <c r="AB75" i="5"/>
  <c r="P66" i="5"/>
  <c r="U65" i="5"/>
  <c r="AD64" i="5"/>
  <c r="AC59" i="5"/>
  <c r="P57" i="5"/>
  <c r="V56" i="5"/>
  <c r="AC55" i="5"/>
  <c r="S52" i="5"/>
  <c r="Z51" i="5"/>
  <c r="AE50" i="5"/>
  <c r="S48" i="5"/>
  <c r="AD46" i="5"/>
  <c r="AB42" i="5"/>
  <c r="AF167" i="5"/>
  <c r="AF161" i="5"/>
  <c r="AA160" i="5"/>
  <c r="AE157" i="5"/>
  <c r="U156" i="5"/>
  <c r="S153" i="5"/>
  <c r="AB149" i="5"/>
  <c r="T144" i="5"/>
  <c r="AA141" i="5"/>
  <c r="U140" i="5"/>
  <c r="U132" i="5"/>
  <c r="AE128" i="5"/>
  <c r="AD124" i="5"/>
  <c r="Q123" i="5"/>
  <c r="V120" i="5"/>
  <c r="S112" i="5"/>
  <c r="AE108" i="5"/>
  <c r="AF105" i="5"/>
  <c r="U104" i="5"/>
  <c r="AD101" i="5"/>
  <c r="AD97" i="5"/>
  <c r="AB96" i="5"/>
  <c r="P95" i="5"/>
  <c r="AE92" i="5"/>
  <c r="Q91" i="5"/>
  <c r="AF78" i="5"/>
  <c r="AC77" i="5"/>
  <c r="S76" i="5"/>
  <c r="S75" i="5"/>
  <c r="V74" i="5"/>
  <c r="Z73" i="5"/>
  <c r="AC72" i="5"/>
  <c r="V71" i="5"/>
  <c r="V70" i="5"/>
  <c r="R69" i="5"/>
  <c r="U68" i="5"/>
  <c r="AC67" i="5"/>
  <c r="AD66" i="5"/>
  <c r="AC65" i="5"/>
  <c r="AC64" i="5"/>
  <c r="AF63" i="5"/>
  <c r="R54" i="5"/>
  <c r="V53" i="5"/>
  <c r="Q52" i="5"/>
  <c r="Q51" i="5"/>
  <c r="T50" i="5"/>
  <c r="Z49" i="5"/>
  <c r="AC48" i="5"/>
  <c r="AC47" i="5"/>
  <c r="U46" i="5"/>
  <c r="AC45" i="5"/>
  <c r="AF44" i="5"/>
  <c r="Q38" i="5"/>
  <c r="V37" i="5"/>
  <c r="AB36" i="5"/>
  <c r="AD35" i="5"/>
  <c r="AE34" i="5"/>
  <c r="P29" i="5"/>
  <c r="U28" i="5"/>
  <c r="AA27" i="5"/>
  <c r="AC26" i="5"/>
  <c r="AE25" i="5"/>
  <c r="Q22" i="5"/>
  <c r="U21" i="5"/>
  <c r="AC20" i="5"/>
  <c r="AE19" i="5"/>
  <c r="P17" i="5"/>
  <c r="U16" i="5"/>
  <c r="T15" i="5"/>
  <c r="AB14" i="5"/>
  <c r="P11" i="5"/>
  <c r="U10" i="5"/>
  <c r="AB9" i="5"/>
  <c r="AF8" i="5"/>
  <c r="R6" i="5"/>
  <c r="V5" i="5"/>
  <c r="AE4" i="5"/>
  <c r="P2" i="5"/>
  <c r="Z167" i="5"/>
  <c r="AA164" i="5"/>
  <c r="AE161" i="5"/>
  <c r="T160" i="5"/>
  <c r="V157" i="5"/>
  <c r="T156" i="5"/>
  <c r="R153" i="5"/>
  <c r="AE145" i="5"/>
  <c r="R144" i="5"/>
  <c r="AF142" i="5"/>
  <c r="T141" i="5"/>
  <c r="T140" i="5"/>
  <c r="S132" i="5"/>
  <c r="AD128" i="5"/>
  <c r="AF125" i="5"/>
  <c r="AC124" i="5"/>
  <c r="AF121" i="5"/>
  <c r="S120" i="5"/>
  <c r="U116" i="5"/>
  <c r="R112" i="5"/>
  <c r="S108" i="5"/>
  <c r="AE105" i="5"/>
  <c r="S104" i="5"/>
  <c r="AC101" i="5"/>
  <c r="AE98" i="5"/>
  <c r="AC97" i="5"/>
  <c r="AA96" i="5"/>
  <c r="AD92" i="5"/>
  <c r="P91" i="5"/>
  <c r="AC79" i="5"/>
  <c r="AE78" i="5"/>
  <c r="V77" i="5"/>
  <c r="R76" i="5"/>
  <c r="R75" i="5"/>
  <c r="U74" i="5"/>
  <c r="V73" i="5"/>
  <c r="AA72" i="5"/>
  <c r="U71" i="5"/>
  <c r="T70" i="5"/>
  <c r="Q69" i="5"/>
  <c r="T68" i="5"/>
  <c r="AB67" i="5"/>
  <c r="AB66" i="5"/>
  <c r="AB65" i="5"/>
  <c r="AB64" i="5"/>
  <c r="AE63" i="5"/>
  <c r="Q54" i="5"/>
  <c r="T53" i="5"/>
  <c r="P52" i="5"/>
  <c r="P51" i="5"/>
  <c r="S50" i="5"/>
  <c r="V49" i="5"/>
  <c r="AB48" i="5"/>
  <c r="V47" i="5"/>
  <c r="T46" i="5"/>
  <c r="AB45" i="5"/>
  <c r="AE44" i="5"/>
  <c r="AF43" i="5"/>
  <c r="P38" i="5"/>
  <c r="T37" i="5"/>
  <c r="AA36" i="5"/>
  <c r="AA35" i="5"/>
  <c r="AD34" i="5"/>
  <c r="AF33" i="5"/>
  <c r="S28" i="5"/>
  <c r="U27" i="5"/>
  <c r="AB26" i="5"/>
  <c r="AD25" i="5"/>
  <c r="P22" i="5"/>
  <c r="T21" i="5"/>
  <c r="AB20" i="5"/>
  <c r="AD19" i="5"/>
  <c r="T16" i="5"/>
  <c r="S15" i="5"/>
  <c r="AA14" i="5"/>
  <c r="AF13" i="5"/>
  <c r="T10" i="5"/>
  <c r="AA9" i="5"/>
  <c r="AE8" i="5"/>
  <c r="Q6" i="5"/>
  <c r="U5" i="5"/>
  <c r="AD4" i="5"/>
  <c r="V167" i="5"/>
  <c r="U164" i="5"/>
  <c r="AD161" i="5"/>
  <c r="S160" i="5"/>
  <c r="U157" i="5"/>
  <c r="S156" i="5"/>
  <c r="Q153" i="5"/>
  <c r="AD145" i="5"/>
  <c r="AE142" i="5"/>
  <c r="S141" i="5"/>
  <c r="P140" i="5"/>
  <c r="AB136" i="5"/>
  <c r="AD133" i="5"/>
  <c r="R132" i="5"/>
  <c r="Q128" i="5"/>
  <c r="AE125" i="5"/>
  <c r="AB124" i="5"/>
  <c r="AE121" i="5"/>
  <c r="R120" i="5"/>
  <c r="S116" i="5"/>
  <c r="AC113" i="5"/>
  <c r="Q112" i="5"/>
  <c r="Q108" i="5"/>
  <c r="AD105" i="5"/>
  <c r="Q104" i="5"/>
  <c r="AB101" i="5"/>
  <c r="AD98" i="5"/>
  <c r="AB97" i="5"/>
  <c r="R96" i="5"/>
  <c r="R92" i="5"/>
  <c r="AB79" i="5"/>
  <c r="AD78" i="5"/>
  <c r="U77" i="5"/>
  <c r="Q76" i="5"/>
  <c r="Q75" i="5"/>
  <c r="T74" i="5"/>
  <c r="U73" i="5"/>
  <c r="U72" i="5"/>
  <c r="T71" i="5"/>
  <c r="S70" i="5"/>
  <c r="P69" i="5"/>
  <c r="S68" i="5"/>
  <c r="AA67" i="5"/>
  <c r="AA66" i="5"/>
  <c r="AA65" i="5"/>
  <c r="Z64" i="5"/>
  <c r="AD63" i="5"/>
  <c r="P54" i="5"/>
  <c r="P50" i="5"/>
  <c r="U49" i="5"/>
  <c r="Z48" i="5"/>
  <c r="U47" i="5"/>
  <c r="S46" i="5"/>
  <c r="AA45" i="5"/>
  <c r="AD44" i="5"/>
  <c r="AE43" i="5"/>
  <c r="AF42" i="5"/>
  <c r="S37" i="5"/>
  <c r="Z36" i="5"/>
  <c r="Z35" i="5"/>
  <c r="AB34" i="5"/>
  <c r="AC33" i="5"/>
  <c r="AF32" i="5"/>
  <c r="R28" i="5"/>
  <c r="T27" i="5"/>
  <c r="AA26" i="5"/>
  <c r="AC25" i="5"/>
  <c r="AE24" i="5"/>
  <c r="S21" i="5"/>
  <c r="AA20" i="5"/>
  <c r="AC19" i="5"/>
  <c r="AF18" i="5"/>
  <c r="R15" i="5"/>
  <c r="Z14" i="5"/>
  <c r="AE13" i="5"/>
  <c r="S10" i="5"/>
  <c r="Z9" i="5"/>
  <c r="AA8" i="5"/>
  <c r="P6" i="5"/>
  <c r="T5" i="5"/>
  <c r="AC4" i="5"/>
  <c r="AD165" i="5"/>
  <c r="AC165" i="5"/>
  <c r="AA161" i="5"/>
  <c r="Z158" i="5"/>
  <c r="S157" i="5"/>
  <c r="AA154" i="5"/>
  <c r="Q150" i="5"/>
  <c r="AF147" i="5"/>
  <c r="AC146" i="5"/>
  <c r="AB145" i="5"/>
  <c r="AB142" i="5"/>
  <c r="Q141" i="5"/>
  <c r="AE137" i="5"/>
  <c r="U136" i="5"/>
  <c r="V133" i="5"/>
  <c r="AF129" i="5"/>
  <c r="AA125" i="5"/>
  <c r="P124" i="5"/>
  <c r="AC121" i="5"/>
  <c r="AC117" i="5"/>
  <c r="Q116" i="5"/>
  <c r="T113" i="5"/>
  <c r="U109" i="5"/>
  <c r="S105" i="5"/>
  <c r="AB98" i="5"/>
  <c r="Z97" i="5"/>
  <c r="AD93" i="5"/>
  <c r="P92" i="5"/>
  <c r="AD87" i="5"/>
  <c r="AC86" i="5"/>
  <c r="AD85" i="5"/>
  <c r="AD84" i="5"/>
  <c r="AF83" i="5"/>
  <c r="AE82" i="5"/>
  <c r="AF81" i="5"/>
  <c r="AE80" i="5"/>
  <c r="Z79" i="5"/>
  <c r="T78" i="5"/>
  <c r="P77" i="5"/>
  <c r="P74" i="5"/>
  <c r="S73" i="5"/>
  <c r="S72" i="5"/>
  <c r="Q70" i="5"/>
  <c r="Q68" i="5"/>
  <c r="V67" i="5"/>
  <c r="V66" i="5"/>
  <c r="S65" i="5"/>
  <c r="U64" i="5"/>
  <c r="AB63" i="5"/>
  <c r="AC62" i="5"/>
  <c r="AD61" i="5"/>
  <c r="AE60" i="5"/>
  <c r="AB59" i="5"/>
  <c r="AF58" i="5"/>
  <c r="V163" i="5"/>
  <c r="V158" i="5"/>
  <c r="AE153" i="5"/>
  <c r="AC147" i="5"/>
  <c r="U146" i="5"/>
  <c r="R141" i="5"/>
  <c r="AF139" i="5"/>
  <c r="AC138" i="5"/>
  <c r="U130" i="5"/>
  <c r="Z127" i="5"/>
  <c r="S124" i="5"/>
  <c r="S119" i="5"/>
  <c r="Q113" i="5"/>
  <c r="AD111" i="5"/>
  <c r="AB103" i="5"/>
  <c r="U98" i="5"/>
  <c r="Z95" i="5"/>
  <c r="AD90" i="5"/>
  <c r="R89" i="5"/>
  <c r="S88" i="5"/>
  <c r="AC80" i="5"/>
  <c r="AE73" i="5"/>
  <c r="T72" i="5"/>
  <c r="AF69" i="5"/>
  <c r="R68" i="5"/>
  <c r="Q67" i="5"/>
  <c r="V64" i="5"/>
  <c r="S63" i="5"/>
  <c r="S62" i="5"/>
  <c r="AF52" i="5"/>
  <c r="U51" i="5"/>
  <c r="P49" i="5"/>
  <c r="AD45" i="5"/>
  <c r="AA44" i="5"/>
  <c r="Q43" i="5"/>
  <c r="S42" i="5"/>
  <c r="S41" i="5"/>
  <c r="Z40" i="5"/>
  <c r="AB39" i="5"/>
  <c r="T38" i="5"/>
  <c r="R37" i="5"/>
  <c r="Q36" i="5"/>
  <c r="R7" i="5"/>
  <c r="Q3" i="5"/>
  <c r="S2" i="5"/>
  <c r="R163" i="5"/>
  <c r="AB153" i="5"/>
  <c r="AC150" i="5"/>
  <c r="T146" i="5"/>
  <c r="AB138" i="5"/>
  <c r="T127" i="5"/>
  <c r="AF122" i="5"/>
  <c r="R119" i="5"/>
  <c r="P113" i="5"/>
  <c r="AC111" i="5"/>
  <c r="T98" i="5"/>
  <c r="AC90" i="5"/>
  <c r="Q89" i="5"/>
  <c r="R88" i="5"/>
  <c r="V80" i="5"/>
  <c r="AD73" i="5"/>
  <c r="AA69" i="5"/>
  <c r="AD52" i="5"/>
  <c r="U158" i="5"/>
  <c r="AB147" i="5"/>
  <c r="AE139" i="5"/>
  <c r="T130" i="5"/>
  <c r="AA103" i="5"/>
  <c r="R95" i="5"/>
  <c r="R72" i="5"/>
  <c r="P68" i="5"/>
  <c r="T64" i="5"/>
  <c r="R63" i="5"/>
  <c r="R62" i="5"/>
  <c r="T51" i="5"/>
  <c r="AC166" i="5"/>
  <c r="Z161" i="5"/>
  <c r="AB159" i="5"/>
  <c r="AF156" i="5"/>
  <c r="AA148" i="5"/>
  <c r="T147" i="5"/>
  <c r="AA144" i="5"/>
  <c r="AC142" i="5"/>
  <c r="Z139" i="5"/>
  <c r="R138" i="5"/>
  <c r="T133" i="5"/>
  <c r="AB125" i="5"/>
  <c r="S122" i="5"/>
  <c r="AA120" i="5"/>
  <c r="AC114" i="5"/>
  <c r="Q111" i="5"/>
  <c r="AE106" i="5"/>
  <c r="AB99" i="5"/>
  <c r="AD96" i="5"/>
  <c r="R93" i="5"/>
  <c r="P90" i="5"/>
  <c r="AD82" i="5"/>
  <c r="AC81" i="5"/>
  <c r="R80" i="5"/>
  <c r="T77" i="5"/>
  <c r="AC74" i="5"/>
  <c r="T73" i="5"/>
  <c r="AF70" i="5"/>
  <c r="T65" i="5"/>
  <c r="AF56" i="5"/>
  <c r="AF55" i="5"/>
  <c r="AC54" i="5"/>
  <c r="AD53" i="5"/>
  <c r="AA52" i="5"/>
  <c r="AF47" i="5"/>
  <c r="R46" i="5"/>
  <c r="T45" i="5"/>
  <c r="Q44" i="5"/>
  <c r="S40" i="5"/>
  <c r="P39" i="5"/>
  <c r="AC32" i="5"/>
  <c r="AE28" i="5"/>
  <c r="AF27" i="5"/>
  <c r="AD26" i="5"/>
  <c r="U25" i="5"/>
  <c r="V24" i="5"/>
  <c r="AE23" i="5"/>
  <c r="AF22" i="5"/>
  <c r="AC21" i="5"/>
  <c r="AE20" i="5"/>
  <c r="AA19" i="5"/>
  <c r="Z18" i="5"/>
  <c r="AC17" i="5"/>
  <c r="AE16" i="5"/>
  <c r="AE15" i="5"/>
  <c r="AC14" i="5"/>
  <c r="AC13" i="5"/>
  <c r="AF12" i="5"/>
  <c r="AF9" i="5"/>
  <c r="AB166" i="5"/>
  <c r="AA159" i="5"/>
  <c r="AB156" i="5"/>
  <c r="AD151" i="5"/>
  <c r="Z148" i="5"/>
  <c r="S147" i="5"/>
  <c r="Z144" i="5"/>
  <c r="AA142" i="5"/>
  <c r="V139" i="5"/>
  <c r="Q138" i="5"/>
  <c r="Q133" i="5"/>
  <c r="T125" i="5"/>
  <c r="R122" i="5"/>
  <c r="Z120" i="5"/>
  <c r="AD117" i="5"/>
  <c r="AB114" i="5"/>
  <c r="P111" i="5"/>
  <c r="AA106" i="5"/>
  <c r="AA99" i="5"/>
  <c r="AC96" i="5"/>
  <c r="Q93" i="5"/>
  <c r="AE83" i="5"/>
  <c r="AB82" i="5"/>
  <c r="AB81" i="5"/>
  <c r="AB74" i="5"/>
  <c r="AE70" i="5"/>
  <c r="R65" i="5"/>
  <c r="AE58" i="5"/>
  <c r="AF57" i="5"/>
  <c r="AE56" i="5"/>
  <c r="AB55" i="5"/>
  <c r="AB54" i="5"/>
  <c r="AC53" i="5"/>
  <c r="R52" i="5"/>
  <c r="AE47" i="5"/>
  <c r="Q46" i="5"/>
  <c r="S45" i="5"/>
  <c r="R40" i="5"/>
  <c r="AB33" i="5"/>
  <c r="AB32" i="5"/>
  <c r="AF31" i="5"/>
  <c r="AD28" i="5"/>
  <c r="AE27" i="5"/>
  <c r="Z26" i="5"/>
  <c r="R25" i="5"/>
  <c r="U24" i="5"/>
  <c r="AD23" i="5"/>
  <c r="AE22" i="5"/>
  <c r="AB21" i="5"/>
  <c r="AD20" i="5"/>
  <c r="Z19" i="5"/>
  <c r="V18" i="5"/>
  <c r="AB17" i="5"/>
  <c r="AD16" i="5"/>
  <c r="AD15" i="5"/>
  <c r="V14" i="5"/>
  <c r="AB13" i="5"/>
  <c r="AE12" i="5"/>
  <c r="AF11" i="5"/>
  <c r="N10" i="5"/>
  <c r="AA30" i="5"/>
  <c r="U32" i="5"/>
  <c r="AE39" i="5"/>
  <c r="Z44" i="5"/>
  <c r="S54" i="5"/>
  <c r="AC56" i="5"/>
  <c r="U62" i="5"/>
  <c r="V68" i="5"/>
  <c r="AC71" i="5"/>
  <c r="Z88" i="5"/>
  <c r="AA95" i="5"/>
  <c r="P110" i="5"/>
  <c r="N114" i="5"/>
  <c r="AD126" i="5"/>
  <c r="P128" i="5"/>
  <c r="S7" i="5"/>
  <c r="T22" i="5"/>
  <c r="Z24" i="5"/>
  <c r="AF25" i="5"/>
  <c r="S29" i="5"/>
  <c r="AB30" i="5"/>
  <c r="AC31" i="5"/>
  <c r="V32" i="5"/>
  <c r="P37" i="5"/>
  <c r="U38" i="5"/>
  <c r="AB44" i="5"/>
  <c r="P47" i="5"/>
  <c r="AF48" i="5"/>
  <c r="T54" i="5"/>
  <c r="S55" i="5"/>
  <c r="AD56" i="5"/>
  <c r="Z62" i="5"/>
  <c r="P65" i="5"/>
  <c r="Z68" i="5"/>
  <c r="U76" i="5"/>
  <c r="AE126" i="5"/>
  <c r="AB137" i="5"/>
  <c r="S148" i="5"/>
  <c r="T7" i="5"/>
  <c r="P10" i="5"/>
  <c r="Q11" i="5"/>
  <c r="S12" i="5"/>
  <c r="R13" i="5"/>
  <c r="S14" i="5"/>
  <c r="AA15" i="5"/>
  <c r="Q21" i="5"/>
  <c r="Z22" i="5"/>
  <c r="AC23" i="5"/>
  <c r="AA24" i="5"/>
  <c r="T29" i="5"/>
  <c r="AC30" i="5"/>
  <c r="AD31" i="5"/>
  <c r="Z32" i="5"/>
  <c r="Q37" i="5"/>
  <c r="V38" i="5"/>
  <c r="AC44" i="5"/>
  <c r="Q47" i="5"/>
  <c r="R51" i="5"/>
  <c r="U54" i="5"/>
  <c r="V55" i="5"/>
  <c r="P61" i="5"/>
  <c r="AA62" i="5"/>
  <c r="AF65" i="5"/>
  <c r="AA68" i="5"/>
  <c r="AA76" i="5"/>
  <c r="Q78" i="5"/>
  <c r="AD81" i="5"/>
  <c r="V87" i="5"/>
  <c r="AE95" i="5"/>
  <c r="R97" i="5"/>
  <c r="T99" i="5"/>
  <c r="R110" i="5"/>
  <c r="T112" i="5"/>
  <c r="P119" i="5"/>
  <c r="T123" i="5"/>
  <c r="P130" i="5"/>
  <c r="Q132" i="5"/>
  <c r="P136" i="5"/>
  <c r="U139" i="5"/>
  <c r="T143" i="5"/>
  <c r="Z145" i="5"/>
  <c r="AE148" i="5"/>
  <c r="P165" i="5"/>
  <c r="K17" i="5"/>
  <c r="N17" i="5" s="1"/>
  <c r="N122" i="5"/>
  <c r="N22" i="5"/>
  <c r="Q12" i="5"/>
  <c r="Q15" i="5"/>
  <c r="AC16" i="5"/>
  <c r="S22" i="5"/>
  <c r="AA23" i="5"/>
  <c r="T24" i="5"/>
  <c r="Z25" i="5"/>
  <c r="R29" i="5"/>
  <c r="AB31" i="5"/>
  <c r="AA33" i="5"/>
  <c r="S38" i="5"/>
  <c r="AE48" i="5"/>
  <c r="R55" i="5"/>
  <c r="N70" i="5"/>
  <c r="Z81" i="5"/>
  <c r="AA137" i="5"/>
  <c r="Q139" i="5"/>
  <c r="P145" i="5"/>
  <c r="Q148" i="5"/>
  <c r="AE155" i="5"/>
  <c r="T157" i="5"/>
  <c r="T159" i="5"/>
  <c r="R12" i="5"/>
  <c r="Q13" i="5"/>
  <c r="R14" i="5"/>
  <c r="Z15" i="5"/>
  <c r="AF16" i="5"/>
  <c r="AB23" i="5"/>
  <c r="AF39" i="5"/>
  <c r="AF71" i="5"/>
  <c r="P78" i="5"/>
  <c r="AA81" i="5"/>
  <c r="T87" i="5"/>
  <c r="AA88" i="5"/>
  <c r="AD95" i="5"/>
  <c r="Q97" i="5"/>
  <c r="Q110" i="5"/>
  <c r="P112" i="5"/>
  <c r="S139" i="5"/>
  <c r="S143" i="5"/>
  <c r="Q145" i="5"/>
  <c r="P150" i="5"/>
  <c r="AF155" i="5"/>
  <c r="Z159" i="5"/>
  <c r="AB161" i="5"/>
  <c r="U7" i="5"/>
  <c r="Q10" i="5"/>
  <c r="R11" i="5"/>
  <c r="T12" i="5"/>
  <c r="S13" i="5"/>
  <c r="T14" i="5"/>
  <c r="AF15" i="5"/>
  <c r="P20" i="5"/>
  <c r="R21" i="5"/>
  <c r="AC22" i="5"/>
  <c r="AF23" i="5"/>
  <c r="AB24" i="5"/>
  <c r="U29" i="5"/>
  <c r="AD30" i="5"/>
  <c r="AE31" i="5"/>
  <c r="P36" i="5"/>
  <c r="Z37" i="5"/>
  <c r="AD38" i="5"/>
  <c r="P43" i="5"/>
  <c r="R47" i="5"/>
  <c r="V51" i="5"/>
  <c r="N53" i="5"/>
  <c r="V54" i="5"/>
  <c r="AA55" i="5"/>
  <c r="S61" i="5"/>
  <c r="AB62" i="5"/>
  <c r="N64" i="5"/>
  <c r="R67" i="5"/>
  <c r="AD68" i="5"/>
  <c r="R70" i="5"/>
  <c r="AA73" i="5"/>
  <c r="AF76" i="5"/>
  <c r="R78" i="5"/>
  <c r="N80" i="5"/>
  <c r="AE81" i="5"/>
  <c r="P84" i="5"/>
  <c r="P85" i="5"/>
  <c r="P86" i="5"/>
  <c r="AA87" i="5"/>
  <c r="Q90" i="5"/>
  <c r="AA97" i="5"/>
  <c r="U99" i="5"/>
  <c r="V110" i="5"/>
  <c r="AD112" i="5"/>
  <c r="S114" i="5"/>
  <c r="R116" i="5"/>
  <c r="Z119" i="5"/>
  <c r="U123" i="5"/>
  <c r="AD132" i="5"/>
  <c r="S134" i="5"/>
  <c r="Q136" i="5"/>
  <c r="AC139" i="5"/>
  <c r="AB141" i="5"/>
  <c r="AB143" i="5"/>
  <c r="AA145" i="5"/>
  <c r="P152" i="5"/>
  <c r="N154" i="5"/>
  <c r="V165" i="5"/>
  <c r="K108" i="5"/>
  <c r="N108" i="5" s="1"/>
  <c r="N38" i="5"/>
  <c r="N42" i="5"/>
  <c r="N135" i="5"/>
  <c r="N146" i="5"/>
  <c r="K99" i="5"/>
  <c r="N99" i="5" s="1"/>
  <c r="K164" i="5"/>
  <c r="N164" i="5" s="1"/>
  <c r="K36" i="5"/>
  <c r="N36" i="5" s="1"/>
  <c r="N72" i="5"/>
  <c r="K59" i="5"/>
  <c r="N59" i="5" s="1"/>
  <c r="N124" i="5"/>
  <c r="N67" i="5"/>
  <c r="N132" i="5"/>
  <c r="N11" i="5"/>
  <c r="N34" i="5"/>
  <c r="K83" i="5"/>
  <c r="N83" i="5" s="1"/>
  <c r="K90" i="5"/>
  <c r="N90" i="5" s="1"/>
  <c r="N156" i="5"/>
  <c r="K159" i="5"/>
  <c r="N159" i="5" s="1"/>
  <c r="K122" i="5"/>
  <c r="N12" i="5"/>
  <c r="K123" i="5"/>
  <c r="N123" i="5" s="1"/>
  <c r="N31" i="5"/>
  <c r="N56" i="5"/>
  <c r="K51" i="5"/>
  <c r="N51" i="5" s="1"/>
  <c r="N100" i="5"/>
  <c r="N163" i="5"/>
  <c r="K75" i="5"/>
  <c r="N75" i="5" s="1"/>
  <c r="N138" i="5"/>
  <c r="K113" i="5"/>
  <c r="N113" i="5" s="1"/>
  <c r="K120" i="5"/>
  <c r="N120" i="5" s="1"/>
  <c r="K102" i="5"/>
  <c r="N102" i="5" s="1"/>
  <c r="N45" i="5"/>
  <c r="K40" i="5"/>
  <c r="N40" i="5" s="1"/>
  <c r="N148" i="5"/>
  <c r="N5" i="5"/>
  <c r="K62" i="5"/>
  <c r="N62" i="5" s="1"/>
  <c r="N112" i="5"/>
  <c r="N147" i="5"/>
  <c r="K119" i="5"/>
  <c r="N119" i="5" s="1"/>
  <c r="N161" i="5"/>
  <c r="K118" i="5"/>
  <c r="N118" i="5" s="1"/>
  <c r="K134" i="5"/>
  <c r="N134" i="5" s="1"/>
  <c r="N129" i="5"/>
  <c r="K104" i="5"/>
  <c r="N139" i="5"/>
  <c r="N145" i="5"/>
  <c r="K136" i="1"/>
  <c r="C108" i="3" s="1"/>
  <c r="K45" i="1"/>
  <c r="C17" i="3" s="1"/>
  <c r="K162" i="1"/>
  <c r="C134" i="3" s="1"/>
  <c r="K117" i="1"/>
  <c r="C89" i="3" s="1"/>
  <c r="K55" i="1"/>
  <c r="C27" i="3" s="1"/>
  <c r="K7" i="1"/>
  <c r="C7" i="7" s="1"/>
  <c r="K57" i="1"/>
  <c r="C29" i="3" s="1"/>
  <c r="K152" i="1"/>
  <c r="C124" i="3" s="1"/>
  <c r="K109" i="1"/>
  <c r="C81" i="3" s="1"/>
  <c r="K83" i="1"/>
  <c r="C55" i="3" s="1"/>
  <c r="K75" i="1"/>
  <c r="C47" i="3" s="1"/>
  <c r="K28" i="1"/>
  <c r="K6" i="1"/>
  <c r="C6" i="7" s="1"/>
  <c r="K52" i="1"/>
  <c r="C24" i="3" s="1"/>
  <c r="K53" i="1"/>
  <c r="C25" i="3" s="1"/>
  <c r="K163" i="1"/>
  <c r="C135" i="3" s="1"/>
  <c r="K124" i="1"/>
  <c r="C96" i="3" s="1"/>
  <c r="K154" i="1"/>
  <c r="C126" i="3" s="1"/>
  <c r="K104" i="1"/>
  <c r="C76" i="3" s="1"/>
  <c r="K18" i="1"/>
  <c r="C18" i="7" s="1"/>
  <c r="K61" i="1"/>
  <c r="C33" i="3" s="1"/>
  <c r="K40" i="1"/>
  <c r="C12" i="3" s="1"/>
  <c r="K150" i="1"/>
  <c r="C122" i="3" s="1"/>
  <c r="K2" i="1"/>
  <c r="C2" i="7" s="1"/>
  <c r="K129" i="1"/>
  <c r="C101" i="3" s="1"/>
  <c r="K54" i="1"/>
  <c r="C26" i="3" s="1"/>
  <c r="K5" i="1"/>
  <c r="C5" i="7" s="1"/>
  <c r="K127" i="1"/>
  <c r="C99" i="3" s="1"/>
  <c r="K115" i="1"/>
  <c r="C87" i="3" s="1"/>
  <c r="K137" i="1"/>
  <c r="C109" i="3" s="1"/>
  <c r="K107" i="1"/>
  <c r="C79" i="3" s="1"/>
  <c r="K140" i="1"/>
  <c r="C112" i="3" s="1"/>
  <c r="K26" i="1"/>
  <c r="K89" i="1"/>
  <c r="C61" i="3" s="1"/>
  <c r="K25" i="1"/>
  <c r="K158" i="1"/>
  <c r="C130" i="3" s="1"/>
  <c r="K13" i="1"/>
  <c r="C13" i="7" s="1"/>
  <c r="K159" i="1"/>
  <c r="C131" i="3" s="1"/>
  <c r="K73" i="1"/>
  <c r="C45" i="3" s="1"/>
  <c r="K153" i="1"/>
  <c r="C125" i="3" s="1"/>
  <c r="K72" i="1"/>
  <c r="C44" i="3" s="1"/>
  <c r="K44" i="1"/>
  <c r="C16" i="3" s="1"/>
  <c r="K24" i="1"/>
  <c r="K112" i="1"/>
  <c r="C84" i="3" s="1"/>
  <c r="K105" i="1"/>
  <c r="C77" i="3" s="1"/>
  <c r="K108" i="1"/>
  <c r="C80" i="3" s="1"/>
  <c r="K118" i="1"/>
  <c r="C90" i="3" s="1"/>
  <c r="K111" i="1"/>
  <c r="C83" i="3" s="1"/>
  <c r="K93" i="1"/>
  <c r="C65" i="3" s="1"/>
  <c r="K85" i="1"/>
  <c r="C57" i="3" s="1"/>
  <c r="K39" i="1"/>
  <c r="C11" i="3" s="1"/>
  <c r="K30" i="1"/>
  <c r="C2" i="3" s="1"/>
  <c r="K9" i="1"/>
  <c r="C9" i="7" s="1"/>
  <c r="K88" i="1"/>
  <c r="C60" i="3" s="1"/>
  <c r="K139" i="1"/>
  <c r="C111" i="3" s="1"/>
  <c r="K157" i="1"/>
  <c r="C129" i="3" s="1"/>
  <c r="K160" i="1"/>
  <c r="C132" i="3" s="1"/>
  <c r="K116" i="1"/>
  <c r="C88" i="3" s="1"/>
  <c r="K145" i="1"/>
  <c r="C117" i="3" s="1"/>
  <c r="K141" i="1"/>
  <c r="C113" i="3" s="1"/>
  <c r="K134" i="1"/>
  <c r="C106" i="3" s="1"/>
  <c r="K130" i="1"/>
  <c r="C102" i="3" s="1"/>
  <c r="K90" i="1"/>
  <c r="C62" i="3" s="1"/>
  <c r="K110" i="1"/>
  <c r="C82" i="3" s="1"/>
  <c r="K92" i="1"/>
  <c r="C64" i="3" s="1"/>
  <c r="K84" i="1"/>
  <c r="C56" i="3" s="1"/>
  <c r="K67" i="1"/>
  <c r="C39" i="3" s="1"/>
  <c r="K56" i="1"/>
  <c r="C28" i="3" s="1"/>
  <c r="K29" i="1"/>
  <c r="K15" i="1"/>
  <c r="C15" i="7" s="1"/>
  <c r="K8" i="1"/>
  <c r="C8" i="7" s="1"/>
  <c r="K155" i="1"/>
  <c r="C127" i="3" s="1"/>
  <c r="K144" i="1"/>
  <c r="C116" i="3" s="1"/>
  <c r="K114" i="1"/>
  <c r="C86" i="3" s="1"/>
  <c r="K96" i="1"/>
  <c r="C68" i="3" s="1"/>
  <c r="K81" i="1"/>
  <c r="C53" i="3" s="1"/>
  <c r="K48" i="1"/>
  <c r="C20" i="3" s="1"/>
  <c r="K71" i="1"/>
  <c r="C43" i="3" s="1"/>
  <c r="K64" i="1"/>
  <c r="C36" i="3" s="1"/>
  <c r="K51" i="1"/>
  <c r="C23" i="3" s="1"/>
  <c r="K37" i="1"/>
  <c r="C9" i="3" s="1"/>
  <c r="K165" i="1"/>
  <c r="C137" i="3" s="1"/>
  <c r="K133" i="1"/>
  <c r="C105" i="3" s="1"/>
  <c r="K63" i="1"/>
  <c r="C35" i="3" s="1"/>
  <c r="K36" i="1"/>
  <c r="C8" i="3" s="1"/>
  <c r="K80" i="1"/>
  <c r="C52" i="3" s="1"/>
  <c r="K70" i="1"/>
  <c r="C42" i="3" s="1"/>
  <c r="K50" i="1"/>
  <c r="C22" i="3" s="1"/>
  <c r="K23" i="1"/>
  <c r="K87" i="1"/>
  <c r="C59" i="3" s="1"/>
  <c r="K49" i="1"/>
  <c r="C21" i="3" s="1"/>
  <c r="K34" i="1"/>
  <c r="C6" i="3" s="1"/>
  <c r="K146" i="1"/>
  <c r="C118" i="3" s="1"/>
  <c r="K35" i="1"/>
  <c r="C7" i="3" s="1"/>
  <c r="K17" i="1"/>
  <c r="C17" i="7" s="1"/>
  <c r="K82" i="1"/>
  <c r="C54" i="3" s="1"/>
  <c r="K167" i="1"/>
  <c r="C139" i="3" s="1"/>
  <c r="K66" i="1"/>
  <c r="C38" i="3" s="1"/>
  <c r="K65" i="1"/>
  <c r="C37" i="3" s="1"/>
  <c r="K142" i="1"/>
  <c r="C114" i="3" s="1"/>
  <c r="K95" i="1"/>
  <c r="C67" i="3" s="1"/>
  <c r="K47" i="1"/>
  <c r="C19" i="3" s="1"/>
  <c r="K21" i="1"/>
  <c r="K138" i="1"/>
  <c r="C110" i="3" s="1"/>
  <c r="K62" i="1"/>
  <c r="C34" i="3" s="1"/>
  <c r="K125" i="1"/>
  <c r="C97" i="3" s="1"/>
  <c r="K106" i="1"/>
  <c r="C78" i="3" s="1"/>
  <c r="K91" i="1"/>
  <c r="C63" i="3" s="1"/>
  <c r="K46" i="1"/>
  <c r="C18" i="3" s="1"/>
  <c r="K33" i="1"/>
  <c r="C5" i="3" s="1"/>
  <c r="K16" i="1"/>
  <c r="C16" i="7" s="1"/>
  <c r="K164" i="1"/>
  <c r="C136" i="3" s="1"/>
  <c r="K122" i="1"/>
  <c r="C94" i="3" s="1"/>
  <c r="K147" i="1"/>
  <c r="C119" i="3" s="1"/>
  <c r="K135" i="1"/>
  <c r="C107" i="3" s="1"/>
  <c r="K131" i="1"/>
  <c r="C103" i="3" s="1"/>
  <c r="K119" i="1"/>
  <c r="C91" i="3" s="1"/>
  <c r="K100" i="1"/>
  <c r="C72" i="3" s="1"/>
  <c r="K14" i="1"/>
  <c r="C14" i="7" s="1"/>
  <c r="K86" i="1"/>
  <c r="C58" i="3" s="1"/>
  <c r="K76" i="1"/>
  <c r="C48" i="3" s="1"/>
  <c r="K58" i="1"/>
  <c r="C30" i="3" s="1"/>
  <c r="K32" i="1"/>
  <c r="C4" i="3" s="1"/>
  <c r="K20" i="1"/>
  <c r="K12" i="1"/>
  <c r="C12" i="7" s="1"/>
  <c r="K42" i="1"/>
  <c r="C14" i="3" s="1"/>
  <c r="K3" i="1"/>
  <c r="C3" i="7" s="1"/>
  <c r="K79" i="1"/>
  <c r="C51" i="3" s="1"/>
  <c r="K126" i="1"/>
  <c r="C98" i="3" s="1"/>
  <c r="K143" i="1"/>
  <c r="C115" i="3" s="1"/>
  <c r="K149" i="1"/>
  <c r="C121" i="3" s="1"/>
  <c r="K123" i="1"/>
  <c r="C95" i="3" s="1"/>
  <c r="K99" i="1"/>
  <c r="C71" i="3" s="1"/>
  <c r="K27" i="1"/>
  <c r="K19" i="1"/>
  <c r="K38" i="1"/>
  <c r="C10" i="3" s="1"/>
  <c r="K103" i="1"/>
  <c r="C75" i="3" s="1"/>
  <c r="K98" i="1"/>
  <c r="C70" i="3" s="1"/>
  <c r="K102" i="1"/>
  <c r="C74" i="3" s="1"/>
  <c r="K78" i="1"/>
  <c r="C50" i="3" s="1"/>
  <c r="K11" i="1"/>
  <c r="C11" i="7" s="1"/>
  <c r="K166" i="1"/>
  <c r="C138" i="3" s="1"/>
  <c r="K156" i="1"/>
  <c r="C128" i="3" s="1"/>
  <c r="K132" i="1"/>
  <c r="C104" i="3" s="1"/>
  <c r="K113" i="1"/>
  <c r="C85" i="3" s="1"/>
  <c r="K77" i="1"/>
  <c r="C49" i="3" s="1"/>
  <c r="K59" i="1"/>
  <c r="C31" i="3" s="1"/>
  <c r="K41" i="1"/>
  <c r="C13" i="3" s="1"/>
  <c r="K10" i="1"/>
  <c r="C10" i="7" s="1"/>
  <c r="K97" i="1"/>
  <c r="C69" i="3" s="1"/>
  <c r="K94" i="1"/>
  <c r="C66" i="3" s="1"/>
  <c r="K43" i="1"/>
  <c r="C15" i="3" s="1"/>
  <c r="K68" i="1"/>
  <c r="C40" i="3" s="1"/>
  <c r="K31" i="1"/>
  <c r="C3" i="3" s="1"/>
  <c r="K4" i="1"/>
  <c r="C4" i="7" s="1"/>
  <c r="B12" i="4"/>
  <c r="B25" i="4"/>
  <c r="B15" i="4"/>
  <c r="B9" i="4"/>
  <c r="B31" i="4"/>
  <c r="B28" i="4"/>
  <c r="B32" i="4"/>
  <c r="B16" i="4"/>
  <c r="B3" i="4"/>
  <c r="B24" i="4"/>
  <c r="B4" i="4"/>
  <c r="B5" i="4"/>
  <c r="B21" i="4"/>
  <c r="B20" i="4"/>
  <c r="B23" i="4"/>
  <c r="B7" i="4"/>
  <c r="AB2" i="1"/>
  <c r="AE2" i="1"/>
  <c r="AA3" i="1"/>
  <c r="AC3" i="1"/>
  <c r="AF3" i="1"/>
  <c r="AA4" i="1"/>
  <c r="AD4" i="1"/>
  <c r="Z5" i="1"/>
  <c r="AC5" i="1"/>
  <c r="AE5" i="1"/>
  <c r="AA6" i="1"/>
  <c r="AD6" i="1"/>
  <c r="Z7" i="1"/>
  <c r="AC7" i="1"/>
  <c r="AF7" i="1"/>
  <c r="AB8" i="1"/>
  <c r="AE8" i="1"/>
  <c r="AA9" i="1"/>
  <c r="AC9" i="1"/>
  <c r="AA10" i="1"/>
  <c r="AC10" i="1"/>
  <c r="AF10" i="1"/>
  <c r="AB11" i="1"/>
  <c r="AE11" i="1"/>
  <c r="AA12" i="1"/>
  <c r="AD12" i="1"/>
  <c r="Z13" i="1"/>
  <c r="AC13" i="1"/>
  <c r="AF13" i="1"/>
  <c r="AB14" i="1"/>
  <c r="AE14" i="1"/>
  <c r="AA15" i="1"/>
  <c r="AD15" i="1"/>
  <c r="Z16" i="1"/>
  <c r="AC16" i="1"/>
  <c r="AE16" i="1"/>
  <c r="AA17" i="1"/>
  <c r="AD17" i="1"/>
  <c r="Z18" i="1"/>
  <c r="AC18" i="1"/>
  <c r="AF18" i="1"/>
  <c r="AB19" i="1"/>
  <c r="AE19" i="1"/>
  <c r="AA20" i="1"/>
  <c r="AD20" i="1"/>
  <c r="Z21" i="1"/>
  <c r="AC21" i="1"/>
  <c r="AE21" i="1"/>
  <c r="AA22" i="1"/>
  <c r="AD22" i="1"/>
  <c r="Z23" i="1"/>
  <c r="AD23" i="1"/>
  <c r="Z24" i="1"/>
  <c r="AC24" i="1"/>
  <c r="AF24" i="1"/>
  <c r="AB25" i="1"/>
  <c r="AE25" i="1"/>
  <c r="AA26" i="1"/>
  <c r="AF26" i="1"/>
  <c r="AB27" i="1"/>
  <c r="AE27" i="1"/>
  <c r="AA28" i="1"/>
  <c r="AD28" i="1"/>
  <c r="Z29" i="1"/>
  <c r="AC29" i="1"/>
  <c r="AF29" i="1"/>
  <c r="AA30" i="1"/>
  <c r="AD30" i="1"/>
  <c r="Z31" i="1"/>
  <c r="AC31" i="1"/>
  <c r="AF31" i="1"/>
  <c r="AB32" i="1"/>
  <c r="AF32" i="1"/>
  <c r="AC33" i="1"/>
  <c r="AF33" i="1"/>
  <c r="AA34" i="1"/>
  <c r="AF34" i="1"/>
  <c r="AA35" i="1"/>
  <c r="AD35" i="1"/>
  <c r="Z36" i="1"/>
  <c r="AC36" i="1"/>
  <c r="AF36" i="1"/>
  <c r="AA37" i="1"/>
  <c r="AC37" i="1"/>
  <c r="AF37" i="1"/>
  <c r="AA38" i="1"/>
  <c r="AD38" i="1"/>
  <c r="Z39" i="1"/>
  <c r="AC39" i="1"/>
  <c r="AF39" i="1"/>
  <c r="AB40" i="1"/>
  <c r="AE40" i="1"/>
  <c r="AA41" i="1"/>
  <c r="AD41" i="1"/>
  <c r="Z42" i="1"/>
  <c r="AC42" i="1"/>
  <c r="AF42" i="1"/>
  <c r="AC43" i="1"/>
  <c r="AF43" i="1"/>
  <c r="AA44" i="1"/>
  <c r="AC44" i="1"/>
  <c r="AE44" i="1"/>
  <c r="Z45" i="1"/>
  <c r="AB45" i="1"/>
  <c r="AD45" i="1"/>
  <c r="AF45" i="1"/>
  <c r="AA46" i="1"/>
  <c r="AC46" i="1"/>
  <c r="AE46" i="1"/>
  <c r="AF46" i="1"/>
  <c r="AB47" i="1"/>
  <c r="AE47" i="1"/>
  <c r="Z48" i="1"/>
  <c r="AC48" i="1"/>
  <c r="AF48" i="1"/>
  <c r="AB49" i="1"/>
  <c r="AE49" i="1"/>
  <c r="AA50" i="1"/>
  <c r="AD50" i="1"/>
  <c r="Z51" i="1"/>
  <c r="AC51" i="1"/>
  <c r="AE51" i="1"/>
  <c r="AA52" i="1"/>
  <c r="AD52" i="1"/>
  <c r="Z53" i="1"/>
  <c r="AC53" i="1"/>
  <c r="AF53" i="1"/>
  <c r="AB54" i="1"/>
  <c r="AD54" i="1"/>
  <c r="Z55" i="1"/>
  <c r="AC55" i="1"/>
  <c r="AF55" i="1"/>
  <c r="AB56" i="1"/>
  <c r="AE56" i="1"/>
  <c r="AA57" i="1"/>
  <c r="AD57" i="1"/>
  <c r="Z58" i="1"/>
  <c r="AC58" i="1"/>
  <c r="AF58" i="1"/>
  <c r="AB59" i="1"/>
  <c r="AE59" i="1"/>
  <c r="AA60" i="1"/>
  <c r="AD60" i="1"/>
  <c r="Z62" i="1"/>
  <c r="AC62" i="1"/>
  <c r="AF62" i="1"/>
  <c r="AB63" i="1"/>
  <c r="AE63" i="1"/>
  <c r="AA64" i="1"/>
  <c r="AD64" i="1"/>
  <c r="Z65" i="1"/>
  <c r="AC65" i="1"/>
  <c r="Z66" i="1"/>
  <c r="AC66" i="1"/>
  <c r="AE66" i="1"/>
  <c r="AA67" i="1"/>
  <c r="AD67" i="1"/>
  <c r="Z68" i="1"/>
  <c r="AC68" i="1"/>
  <c r="AF68" i="1"/>
  <c r="AB69" i="1"/>
  <c r="AE69" i="1"/>
  <c r="AA70" i="1"/>
  <c r="AD70" i="1"/>
  <c r="Z71" i="1"/>
  <c r="AC71" i="1"/>
  <c r="AF71" i="1"/>
  <c r="AB72" i="1"/>
  <c r="AE72" i="1"/>
  <c r="AA73" i="1"/>
  <c r="AD73" i="1"/>
  <c r="AF73" i="1"/>
  <c r="AA74" i="1"/>
  <c r="AC74" i="1"/>
  <c r="AE74" i="1"/>
  <c r="Z75" i="1"/>
  <c r="AB75" i="1"/>
  <c r="AD75" i="1"/>
  <c r="Z76" i="1"/>
  <c r="AC76" i="1"/>
  <c r="AF76" i="1"/>
  <c r="AB77" i="1"/>
  <c r="AE77" i="1"/>
  <c r="AA78" i="1"/>
  <c r="AD78" i="1"/>
  <c r="Z79" i="1"/>
  <c r="AB79" i="1"/>
  <c r="AE79" i="1"/>
  <c r="AA80" i="1"/>
  <c r="AF80" i="1"/>
  <c r="AA81" i="1"/>
  <c r="AD81" i="1"/>
  <c r="Z82" i="1"/>
  <c r="AC82" i="1"/>
  <c r="AF82" i="1"/>
  <c r="AB83" i="1"/>
  <c r="AE83" i="1"/>
  <c r="AA84" i="1"/>
  <c r="AD84" i="1"/>
  <c r="Z85" i="1"/>
  <c r="AB85" i="1"/>
  <c r="AC85" i="1"/>
  <c r="AD85" i="1"/>
  <c r="AE85" i="1"/>
  <c r="AF85" i="1"/>
  <c r="Z86" i="1"/>
  <c r="AA86" i="1"/>
  <c r="AB86" i="1"/>
  <c r="AC86" i="1"/>
  <c r="AD86" i="1"/>
  <c r="AE86" i="1"/>
  <c r="AF86" i="1"/>
  <c r="Z87" i="1"/>
  <c r="AA87" i="1"/>
  <c r="AB87" i="1"/>
  <c r="AC87" i="1"/>
  <c r="AD87" i="1"/>
  <c r="AE87" i="1"/>
  <c r="AF87" i="1"/>
  <c r="Z88" i="1"/>
  <c r="AA88" i="1"/>
  <c r="AB88" i="1"/>
  <c r="AC88" i="1"/>
  <c r="AD88" i="1"/>
  <c r="AE88" i="1"/>
  <c r="AF88" i="1"/>
  <c r="Z89" i="1"/>
  <c r="AA89" i="1"/>
  <c r="AB89" i="1"/>
  <c r="Z2" i="1"/>
  <c r="AC2" i="1"/>
  <c r="AF2" i="1"/>
  <c r="AD3" i="1"/>
  <c r="Z4" i="1"/>
  <c r="AC4" i="1"/>
  <c r="AE4" i="1"/>
  <c r="AA5" i="1"/>
  <c r="AF5" i="1"/>
  <c r="AB6" i="1"/>
  <c r="AE6" i="1"/>
  <c r="AA7" i="1"/>
  <c r="AD7" i="1"/>
  <c r="Z8" i="1"/>
  <c r="AD8" i="1"/>
  <c r="Z9" i="1"/>
  <c r="AD9" i="1"/>
  <c r="Z10" i="1"/>
  <c r="AD10" i="1"/>
  <c r="Z11" i="1"/>
  <c r="AC11" i="1"/>
  <c r="AF11" i="1"/>
  <c r="AB12" i="1"/>
  <c r="AE12" i="1"/>
  <c r="AB13" i="1"/>
  <c r="AE13" i="1"/>
  <c r="AA14" i="1"/>
  <c r="AD14" i="1"/>
  <c r="Z15" i="1"/>
  <c r="AC15" i="1"/>
  <c r="AF15" i="1"/>
  <c r="AB16" i="1"/>
  <c r="AF16" i="1"/>
  <c r="AB17" i="1"/>
  <c r="AF17" i="1"/>
  <c r="AB18" i="1"/>
  <c r="AE18" i="1"/>
  <c r="AA19" i="1"/>
  <c r="AD19" i="1"/>
  <c r="Z20" i="1"/>
  <c r="AC20" i="1"/>
  <c r="AF20" i="1"/>
  <c r="AB21" i="1"/>
  <c r="Z22" i="1"/>
  <c r="AC22" i="1"/>
  <c r="AF22" i="1"/>
  <c r="AB23" i="1"/>
  <c r="AE23" i="1"/>
  <c r="AA24" i="1"/>
  <c r="AD24" i="1"/>
  <c r="Z25" i="1"/>
  <c r="AC25" i="1"/>
  <c r="AF25" i="1"/>
  <c r="AB26" i="1"/>
  <c r="AD26" i="1"/>
  <c r="AA27" i="1"/>
  <c r="AD27" i="1"/>
  <c r="Z28" i="1"/>
  <c r="AC28" i="1"/>
  <c r="AF28" i="1"/>
  <c r="AB29" i="1"/>
  <c r="AE29" i="1"/>
  <c r="AB30" i="1"/>
  <c r="AF30" i="1"/>
  <c r="AB31" i="1"/>
  <c r="AE31" i="1"/>
  <c r="AA32" i="1"/>
  <c r="AD32" i="1"/>
  <c r="Z33" i="1"/>
  <c r="AB33" i="1"/>
  <c r="AE33" i="1"/>
  <c r="AC34" i="1"/>
  <c r="AE34" i="1"/>
  <c r="AB35" i="1"/>
  <c r="AE35" i="1"/>
  <c r="AA36" i="1"/>
  <c r="AD36" i="1"/>
  <c r="AE37" i="1"/>
  <c r="AB38" i="1"/>
  <c r="AF38" i="1"/>
  <c r="AB39" i="1"/>
  <c r="AE39" i="1"/>
  <c r="AA40" i="1"/>
  <c r="AD40" i="1"/>
  <c r="Z41" i="1"/>
  <c r="AC41" i="1"/>
  <c r="AF41" i="1"/>
  <c r="AB42" i="1"/>
  <c r="AE42" i="1"/>
  <c r="AA43" i="1"/>
  <c r="AD43" i="1"/>
  <c r="Z44" i="1"/>
  <c r="AB44" i="1"/>
  <c r="AD44" i="1"/>
  <c r="AF44" i="1"/>
  <c r="AA45" i="1"/>
  <c r="AC45" i="1"/>
  <c r="AE45" i="1"/>
  <c r="Z46" i="1"/>
  <c r="AB46" i="1"/>
  <c r="AD46" i="1"/>
  <c r="Z47" i="1"/>
  <c r="AC47" i="1"/>
  <c r="AF47" i="1"/>
  <c r="AB48" i="1"/>
  <c r="AE48" i="1"/>
  <c r="AA49" i="1"/>
  <c r="AD49" i="1"/>
  <c r="Z50" i="1"/>
  <c r="AC50" i="1"/>
  <c r="AF50" i="1"/>
  <c r="AB51" i="1"/>
  <c r="AF51" i="1"/>
  <c r="AC52" i="1"/>
  <c r="AF52" i="1"/>
  <c r="AB53" i="1"/>
  <c r="AD53" i="1"/>
  <c r="AA54" i="1"/>
  <c r="AE54" i="1"/>
  <c r="AA55" i="1"/>
  <c r="AD55" i="1"/>
  <c r="Z56" i="1"/>
  <c r="AC56" i="1"/>
  <c r="AF56" i="1"/>
  <c r="AB57" i="1"/>
  <c r="AF57" i="1"/>
  <c r="AB58" i="1"/>
  <c r="AE58" i="1"/>
  <c r="AA59" i="1"/>
  <c r="AD59" i="1"/>
  <c r="Z60" i="1"/>
  <c r="AC60" i="1"/>
  <c r="AF60" i="1"/>
  <c r="AA61" i="1"/>
  <c r="AC61" i="1"/>
  <c r="AE61" i="1"/>
  <c r="AA62" i="1"/>
  <c r="AD62" i="1"/>
  <c r="Z63" i="1"/>
  <c r="AD63" i="1"/>
  <c r="Z64" i="1"/>
  <c r="AC64" i="1"/>
  <c r="AF64" i="1"/>
  <c r="AB65" i="1"/>
  <c r="AE65" i="1"/>
  <c r="AA66" i="1"/>
  <c r="AF66" i="1"/>
  <c r="AB67" i="1"/>
  <c r="AE67" i="1"/>
  <c r="AA68" i="1"/>
  <c r="AD68" i="1"/>
  <c r="Z69" i="1"/>
  <c r="AD69" i="1"/>
  <c r="Z70" i="1"/>
  <c r="AC70" i="1"/>
  <c r="AF70" i="1"/>
  <c r="AB71" i="1"/>
  <c r="AE71" i="1"/>
  <c r="AA72" i="1"/>
  <c r="AD72" i="1"/>
  <c r="Z73" i="1"/>
  <c r="AC73" i="1"/>
  <c r="AE75" i="1"/>
  <c r="AB76" i="1"/>
  <c r="AE76" i="1"/>
  <c r="AA77" i="1"/>
  <c r="AD77" i="1"/>
  <c r="Z78" i="1"/>
  <c r="AC78" i="1"/>
  <c r="AF78" i="1"/>
  <c r="AC79" i="1"/>
  <c r="AF79" i="1"/>
  <c r="AB80" i="1"/>
  <c r="AE80" i="1"/>
  <c r="AB81" i="1"/>
  <c r="AE81" i="1"/>
  <c r="AA82" i="1"/>
  <c r="AD82" i="1"/>
  <c r="Z83" i="1"/>
  <c r="AD83" i="1"/>
  <c r="Z84" i="1"/>
  <c r="AC84" i="1"/>
  <c r="AF84" i="1"/>
  <c r="AC89" i="1"/>
  <c r="AE89" i="1"/>
  <c r="Z90" i="1"/>
  <c r="AB90" i="1"/>
  <c r="AD90" i="1"/>
  <c r="AF90" i="1"/>
  <c r="AB91" i="1"/>
  <c r="AD91" i="1"/>
  <c r="AF91" i="1"/>
  <c r="AA92" i="1"/>
  <c r="AC92" i="1"/>
  <c r="AE92" i="1"/>
  <c r="Z93" i="1"/>
  <c r="AB93" i="1"/>
  <c r="AD93" i="1"/>
  <c r="AF93" i="1"/>
  <c r="AA94" i="1"/>
  <c r="AC94" i="1"/>
  <c r="AE94" i="1"/>
  <c r="Z95" i="1"/>
  <c r="AB95" i="1"/>
  <c r="AD95" i="1"/>
  <c r="AF95" i="1"/>
  <c r="AA96" i="1"/>
  <c r="AC96" i="1"/>
  <c r="AF96" i="1"/>
  <c r="AA97" i="1"/>
  <c r="AC97" i="1"/>
  <c r="AE97" i="1"/>
  <c r="Z98" i="1"/>
  <c r="AB98" i="1"/>
  <c r="AD98" i="1"/>
  <c r="AF98" i="1"/>
  <c r="AA99" i="1"/>
  <c r="AC99" i="1"/>
  <c r="AE99" i="1"/>
  <c r="Z100" i="1"/>
  <c r="AB100" i="1"/>
  <c r="AD100" i="1"/>
  <c r="AF100" i="1"/>
  <c r="AA101" i="1"/>
  <c r="AC101" i="1"/>
  <c r="AE101" i="1"/>
  <c r="Z102" i="1"/>
  <c r="AB102" i="1"/>
  <c r="AD102" i="1"/>
  <c r="AF102" i="1"/>
  <c r="AA103" i="1"/>
  <c r="AC103" i="1"/>
  <c r="AE103" i="1"/>
  <c r="Z104" i="1"/>
  <c r="AB104" i="1"/>
  <c r="AD104" i="1"/>
  <c r="AF104" i="1"/>
  <c r="AA105" i="1"/>
  <c r="AC105" i="1"/>
  <c r="AE105" i="1"/>
  <c r="Z106" i="1"/>
  <c r="AB106" i="1"/>
  <c r="AE106" i="1"/>
  <c r="Z107" i="1"/>
  <c r="AB107" i="1"/>
  <c r="AD107" i="1"/>
  <c r="AA108" i="1"/>
  <c r="AD110" i="1"/>
  <c r="AF150" i="1"/>
  <c r="AA2" i="1"/>
  <c r="AD2" i="1"/>
  <c r="Z3" i="1"/>
  <c r="AB3" i="1"/>
  <c r="AE3" i="1"/>
  <c r="AB4" i="1"/>
  <c r="AF4" i="1"/>
  <c r="AB5" i="1"/>
  <c r="AD5" i="1"/>
  <c r="Z6" i="1"/>
  <c r="AC6" i="1"/>
  <c r="AF6" i="1"/>
  <c r="AB7" i="1"/>
  <c r="AE7" i="1"/>
  <c r="AA8" i="1"/>
  <c r="AC8" i="1"/>
  <c r="AF8" i="1"/>
  <c r="AB9" i="1"/>
  <c r="AE9" i="1"/>
  <c r="AF9" i="1"/>
  <c r="AB10" i="1"/>
  <c r="AE10" i="1"/>
  <c r="AA11" i="1"/>
  <c r="AD11" i="1"/>
  <c r="Z12" i="1"/>
  <c r="AC12" i="1"/>
  <c r="AF12" i="1"/>
  <c r="AA13" i="1"/>
  <c r="AD13" i="1"/>
  <c r="Z14" i="1"/>
  <c r="AC14" i="1"/>
  <c r="AF14" i="1"/>
  <c r="AB15" i="1"/>
  <c r="AE15" i="1"/>
  <c r="AA16" i="1"/>
  <c r="AD16" i="1"/>
  <c r="Z17" i="1"/>
  <c r="AC17" i="1"/>
  <c r="AE17" i="1"/>
  <c r="AA18" i="1"/>
  <c r="AD18" i="1"/>
  <c r="Z19" i="1"/>
  <c r="AC19" i="1"/>
  <c r="AF19" i="1"/>
  <c r="AB20" i="1"/>
  <c r="AE20" i="1"/>
  <c r="AA21" i="1"/>
  <c r="AD21" i="1"/>
  <c r="AF21" i="1"/>
  <c r="AB22" i="1"/>
  <c r="AE22" i="1"/>
  <c r="AA23" i="1"/>
  <c r="AC23" i="1"/>
  <c r="AF23" i="1"/>
  <c r="AB24" i="1"/>
  <c r="AE24" i="1"/>
  <c r="AA25" i="1"/>
  <c r="AD25" i="1"/>
  <c r="Z26" i="1"/>
  <c r="AC26" i="1"/>
  <c r="AE26" i="1"/>
  <c r="Z27" i="1"/>
  <c r="AC27" i="1"/>
  <c r="AF27" i="1"/>
  <c r="AB28" i="1"/>
  <c r="AE28" i="1"/>
  <c r="AA29" i="1"/>
  <c r="AD29" i="1"/>
  <c r="Z30" i="1"/>
  <c r="AC30" i="1"/>
  <c r="AE30" i="1"/>
  <c r="AA31" i="1"/>
  <c r="AD31" i="1"/>
  <c r="Z32" i="1"/>
  <c r="AC32" i="1"/>
  <c r="AE32" i="1"/>
  <c r="AA33" i="1"/>
  <c r="AD33" i="1"/>
  <c r="Z34" i="1"/>
  <c r="AB34" i="1"/>
  <c r="AD34" i="1"/>
  <c r="Z35" i="1"/>
  <c r="AC35" i="1"/>
  <c r="AF35" i="1"/>
  <c r="AB36" i="1"/>
  <c r="AE36" i="1"/>
  <c r="Z37" i="1"/>
  <c r="AB37" i="1"/>
  <c r="AD37" i="1"/>
  <c r="Z38" i="1"/>
  <c r="AC38" i="1"/>
  <c r="AE38" i="1"/>
  <c r="AA39" i="1"/>
  <c r="AD39" i="1"/>
  <c r="Z40" i="1"/>
  <c r="AC40" i="1"/>
  <c r="AF40" i="1"/>
  <c r="AB41" i="1"/>
  <c r="AE41" i="1"/>
  <c r="AA42" i="1"/>
  <c r="AD42" i="1"/>
  <c r="Z43" i="1"/>
  <c r="AB43" i="1"/>
  <c r="AE43" i="1"/>
  <c r="AA47" i="1"/>
  <c r="AD47" i="1"/>
  <c r="AA48" i="1"/>
  <c r="AD48" i="1"/>
  <c r="Z49" i="1"/>
  <c r="AC49" i="1"/>
  <c r="AF49" i="1"/>
  <c r="AB50" i="1"/>
  <c r="AE50" i="1"/>
  <c r="AA51" i="1"/>
  <c r="AD51" i="1"/>
  <c r="Z52" i="1"/>
  <c r="AB52" i="1"/>
  <c r="AE52" i="1"/>
  <c r="AA53" i="1"/>
  <c r="AE53" i="1"/>
  <c r="Z54" i="1"/>
  <c r="AC54" i="1"/>
  <c r="AF54" i="1"/>
  <c r="AB55" i="1"/>
  <c r="AE55" i="1"/>
  <c r="AA56" i="1"/>
  <c r="AD56" i="1"/>
  <c r="Z57" i="1"/>
  <c r="AC57" i="1"/>
  <c r="AE57" i="1"/>
  <c r="AA58" i="1"/>
  <c r="AD58" i="1"/>
  <c r="Z59" i="1"/>
  <c r="AC59" i="1"/>
  <c r="AF59" i="1"/>
  <c r="AB60" i="1"/>
  <c r="AE60" i="1"/>
  <c r="Z61" i="1"/>
  <c r="AB61" i="1"/>
  <c r="AD61" i="1"/>
  <c r="AF61" i="1"/>
  <c r="AB62" i="1"/>
  <c r="AE62" i="1"/>
  <c r="AA63" i="1"/>
  <c r="AC63" i="1"/>
  <c r="AF63" i="1"/>
  <c r="AB64" i="1"/>
  <c r="AE64" i="1"/>
  <c r="AA65" i="1"/>
  <c r="AD65" i="1"/>
  <c r="AF65" i="1"/>
  <c r="AB66" i="1"/>
  <c r="AD66" i="1"/>
  <c r="Z67" i="1"/>
  <c r="AC67" i="1"/>
  <c r="AF67" i="1"/>
  <c r="AB68" i="1"/>
  <c r="AE68" i="1"/>
  <c r="AA69" i="1"/>
  <c r="AC69" i="1"/>
  <c r="AF69" i="1"/>
  <c r="AB70" i="1"/>
  <c r="AE70" i="1"/>
  <c r="AA71" i="1"/>
  <c r="AD71" i="1"/>
  <c r="Z72" i="1"/>
  <c r="AC72" i="1"/>
  <c r="AF72" i="1"/>
  <c r="AB73" i="1"/>
  <c r="AE73" i="1"/>
  <c r="Z74" i="1"/>
  <c r="AB74" i="1"/>
  <c r="AD74" i="1"/>
  <c r="AF74" i="1"/>
  <c r="AA75" i="1"/>
  <c r="AC75" i="1"/>
  <c r="AF75" i="1"/>
  <c r="AA76" i="1"/>
  <c r="AD76" i="1"/>
  <c r="Z77" i="1"/>
  <c r="AC77" i="1"/>
  <c r="AF77" i="1"/>
  <c r="AB78" i="1"/>
  <c r="AE78" i="1"/>
  <c r="AA79" i="1"/>
  <c r="AD79" i="1"/>
  <c r="Z80" i="1"/>
  <c r="AC80" i="1"/>
  <c r="AD80" i="1"/>
  <c r="Z81" i="1"/>
  <c r="AC81" i="1"/>
  <c r="AF81" i="1"/>
  <c r="AB82" i="1"/>
  <c r="AE82" i="1"/>
  <c r="AA83" i="1"/>
  <c r="AC83" i="1"/>
  <c r="AF83" i="1"/>
  <c r="AB84" i="1"/>
  <c r="AE84" i="1"/>
  <c r="AA85" i="1"/>
  <c r="AD89" i="1"/>
  <c r="AF89" i="1"/>
  <c r="AA90" i="1"/>
  <c r="AC90" i="1"/>
  <c r="AE90" i="1"/>
  <c r="Z91" i="1"/>
  <c r="AA91" i="1"/>
  <c r="AC91" i="1"/>
  <c r="AE91" i="1"/>
  <c r="Z92" i="1"/>
  <c r="AB92" i="1"/>
  <c r="AD92" i="1"/>
  <c r="AF92" i="1"/>
  <c r="AA93" i="1"/>
  <c r="AC93" i="1"/>
  <c r="AE93" i="1"/>
  <c r="Z94" i="1"/>
  <c r="AB94" i="1"/>
  <c r="AD94" i="1"/>
  <c r="AF94" i="1"/>
  <c r="AA95" i="1"/>
  <c r="AC95" i="1"/>
  <c r="AE95" i="1"/>
  <c r="Z96" i="1"/>
  <c r="AB96" i="1"/>
  <c r="AD96" i="1"/>
  <c r="AE96" i="1"/>
  <c r="Z97" i="1"/>
  <c r="AB97" i="1"/>
  <c r="AD97" i="1"/>
  <c r="AF97" i="1"/>
  <c r="AA98" i="1"/>
  <c r="AC98" i="1"/>
  <c r="AE98" i="1"/>
  <c r="Z99" i="1"/>
  <c r="AB99" i="1"/>
  <c r="AD99" i="1"/>
  <c r="AF99" i="1"/>
  <c r="AA100" i="1"/>
  <c r="AC100" i="1"/>
  <c r="AE100" i="1"/>
  <c r="Z101" i="1"/>
  <c r="AB101" i="1"/>
  <c r="AD101" i="1"/>
  <c r="AF101" i="1"/>
  <c r="AA102" i="1"/>
  <c r="AC102" i="1"/>
  <c r="AE102" i="1"/>
  <c r="Z103" i="1"/>
  <c r="AB103" i="1"/>
  <c r="AD103" i="1"/>
  <c r="AF103" i="1"/>
  <c r="AA104" i="1"/>
  <c r="AC104" i="1"/>
  <c r="AE104" i="1"/>
  <c r="Z105" i="1"/>
  <c r="AB105" i="1"/>
  <c r="AD105" i="1"/>
  <c r="AF105" i="1"/>
  <c r="AA106" i="1"/>
  <c r="AC106" i="1"/>
  <c r="AD106" i="1"/>
  <c r="AF106" i="1"/>
  <c r="AA107" i="1"/>
  <c r="AC107" i="1"/>
  <c r="AE107" i="1"/>
  <c r="AF107" i="1"/>
  <c r="Z108" i="1"/>
  <c r="AB108" i="1"/>
  <c r="AC108" i="1"/>
  <c r="AD108" i="1"/>
  <c r="AE108" i="1"/>
  <c r="AF108" i="1"/>
  <c r="Z109" i="1"/>
  <c r="AA109" i="1"/>
  <c r="AB109" i="1"/>
  <c r="AC109" i="1"/>
  <c r="AD109" i="1"/>
  <c r="AE109" i="1"/>
  <c r="AF109" i="1"/>
  <c r="Z110" i="1"/>
  <c r="AA110" i="1"/>
  <c r="AB110" i="1"/>
  <c r="AC110" i="1"/>
  <c r="AE110" i="1"/>
  <c r="AF110" i="1"/>
  <c r="Z111" i="1"/>
  <c r="AA111" i="1"/>
  <c r="AB111" i="1"/>
  <c r="AC111" i="1"/>
  <c r="AD111" i="1"/>
  <c r="AE111" i="1"/>
  <c r="AF111" i="1"/>
  <c r="Z112" i="1"/>
  <c r="AA112" i="1"/>
  <c r="AB112" i="1"/>
  <c r="AC112" i="1"/>
  <c r="AD112" i="1"/>
  <c r="AE112" i="1"/>
  <c r="AF112" i="1"/>
  <c r="Z113" i="1"/>
  <c r="AA113" i="1"/>
  <c r="AB113" i="1"/>
  <c r="AC113" i="1"/>
  <c r="AD113" i="1"/>
  <c r="AE113" i="1"/>
  <c r="AF113" i="1"/>
  <c r="Z114" i="1"/>
  <c r="AA114" i="1"/>
  <c r="AB114" i="1"/>
  <c r="AC114" i="1"/>
  <c r="AD114" i="1"/>
  <c r="AE114" i="1"/>
  <c r="AF114" i="1"/>
  <c r="Z115" i="1"/>
  <c r="AA115" i="1"/>
  <c r="AB115" i="1"/>
  <c r="AC115" i="1"/>
  <c r="AD115" i="1"/>
  <c r="AE115" i="1"/>
  <c r="AF115" i="1"/>
  <c r="Z116" i="1"/>
  <c r="AA116" i="1"/>
  <c r="AB116" i="1"/>
  <c r="AC116" i="1"/>
  <c r="AD116" i="1"/>
  <c r="AE116" i="1"/>
  <c r="AF116" i="1"/>
  <c r="Z117" i="1"/>
  <c r="AA117" i="1"/>
  <c r="AB117" i="1"/>
  <c r="AC117" i="1"/>
  <c r="AD117" i="1"/>
  <c r="AE117" i="1"/>
  <c r="AF117" i="1"/>
  <c r="Z118" i="1"/>
  <c r="AA118" i="1"/>
  <c r="AB118" i="1"/>
  <c r="AC118" i="1"/>
  <c r="AD118" i="1"/>
  <c r="AE118" i="1"/>
  <c r="AF118" i="1"/>
  <c r="Z119" i="1"/>
  <c r="AA119" i="1"/>
  <c r="AB119" i="1"/>
  <c r="AC119" i="1"/>
  <c r="AD119" i="1"/>
  <c r="AE119" i="1"/>
  <c r="AF119" i="1"/>
  <c r="Z120" i="1"/>
  <c r="AA120" i="1"/>
  <c r="AB120" i="1"/>
  <c r="AC120" i="1"/>
  <c r="AD120" i="1"/>
  <c r="AE120" i="1"/>
  <c r="AF120" i="1"/>
  <c r="Z121" i="1"/>
  <c r="AA121" i="1"/>
  <c r="AB121" i="1"/>
  <c r="AC121" i="1"/>
  <c r="AD121" i="1"/>
  <c r="AE121" i="1"/>
  <c r="AF121" i="1"/>
  <c r="Z122" i="1"/>
  <c r="AA122" i="1"/>
  <c r="AB122" i="1"/>
  <c r="AC122" i="1"/>
  <c r="AD122" i="1"/>
  <c r="AE122" i="1"/>
  <c r="AF122" i="1"/>
  <c r="Z123" i="1"/>
  <c r="AA123" i="1"/>
  <c r="AB123" i="1"/>
  <c r="AC123" i="1"/>
  <c r="AD123" i="1"/>
  <c r="AE123" i="1"/>
  <c r="AF123" i="1"/>
  <c r="Z124" i="1"/>
  <c r="AA124" i="1"/>
  <c r="AB124" i="1"/>
  <c r="AC124" i="1"/>
  <c r="AD124" i="1"/>
  <c r="AE124" i="1"/>
  <c r="AF124" i="1"/>
  <c r="Z125" i="1"/>
  <c r="AA125" i="1"/>
  <c r="AB125" i="1"/>
  <c r="AC125" i="1"/>
  <c r="AD125" i="1"/>
  <c r="AE125" i="1"/>
  <c r="AF125" i="1"/>
  <c r="Z126" i="1"/>
  <c r="AA126" i="1"/>
  <c r="AB126" i="1"/>
  <c r="AC126" i="1"/>
  <c r="AD126" i="1"/>
  <c r="AE126" i="1"/>
  <c r="AF126" i="1"/>
  <c r="Z127" i="1"/>
  <c r="AA127" i="1"/>
  <c r="AB127" i="1"/>
  <c r="AC127" i="1"/>
  <c r="AD127" i="1"/>
  <c r="AE127" i="1"/>
  <c r="AF127" i="1"/>
  <c r="Z128" i="1"/>
  <c r="AA128" i="1"/>
  <c r="AB128" i="1"/>
  <c r="AC128" i="1"/>
  <c r="AD128" i="1"/>
  <c r="AE128" i="1"/>
  <c r="AF128" i="1"/>
  <c r="Z129" i="1"/>
  <c r="AA129" i="1"/>
  <c r="AB129" i="1"/>
  <c r="AC129" i="1"/>
  <c r="AD129" i="1"/>
  <c r="AE129" i="1"/>
  <c r="AF129" i="1"/>
  <c r="Z130" i="1"/>
  <c r="AA130" i="1"/>
  <c r="AB130" i="1"/>
  <c r="AC130" i="1"/>
  <c r="AD130" i="1"/>
  <c r="AE130" i="1"/>
  <c r="AF130" i="1"/>
  <c r="Z131" i="1"/>
  <c r="AA131" i="1"/>
  <c r="AB131" i="1"/>
  <c r="AC131" i="1"/>
  <c r="AD131" i="1"/>
  <c r="AE131" i="1"/>
  <c r="AF131" i="1"/>
  <c r="Z132" i="1"/>
  <c r="AA132" i="1"/>
  <c r="AB132" i="1"/>
  <c r="AC132" i="1"/>
  <c r="AD132" i="1"/>
  <c r="AE132" i="1"/>
  <c r="AF132" i="1"/>
  <c r="Z133" i="1"/>
  <c r="AA133" i="1"/>
  <c r="AB133" i="1"/>
  <c r="AC133" i="1"/>
  <c r="AD133" i="1"/>
  <c r="AE133" i="1"/>
  <c r="AF133" i="1"/>
  <c r="Z134" i="1"/>
  <c r="AA134" i="1"/>
  <c r="AB134" i="1"/>
  <c r="AC134" i="1"/>
  <c r="AD134" i="1"/>
  <c r="AE134" i="1"/>
  <c r="AF134" i="1"/>
  <c r="Z135" i="1"/>
  <c r="AA135" i="1"/>
  <c r="AB135" i="1"/>
  <c r="AC135" i="1"/>
  <c r="AD135" i="1"/>
  <c r="AE135" i="1"/>
  <c r="AF135" i="1"/>
  <c r="Z136" i="1"/>
  <c r="AA136" i="1"/>
  <c r="AB136" i="1"/>
  <c r="AC136" i="1"/>
  <c r="AD136" i="1"/>
  <c r="AE136" i="1"/>
  <c r="AF136" i="1"/>
  <c r="Z137" i="1"/>
  <c r="AA137" i="1"/>
  <c r="AB137" i="1"/>
  <c r="AC137" i="1"/>
  <c r="AD137" i="1"/>
  <c r="AE137" i="1"/>
  <c r="AF137" i="1"/>
  <c r="Z138" i="1"/>
  <c r="AA138" i="1"/>
  <c r="AB138" i="1"/>
  <c r="AC138" i="1"/>
  <c r="AD138" i="1"/>
  <c r="AE138" i="1"/>
  <c r="AF138" i="1"/>
  <c r="Z139" i="1"/>
  <c r="AA139" i="1"/>
  <c r="AB139" i="1"/>
  <c r="AC139" i="1"/>
  <c r="AD139" i="1"/>
  <c r="AE139" i="1"/>
  <c r="AF139" i="1"/>
  <c r="Z140" i="1"/>
  <c r="AA140" i="1"/>
  <c r="AB140" i="1"/>
  <c r="AC140" i="1"/>
  <c r="AD140" i="1"/>
  <c r="AE140" i="1"/>
  <c r="AF140" i="1"/>
  <c r="Z141" i="1"/>
  <c r="AA141" i="1"/>
  <c r="AB141" i="1"/>
  <c r="AC141" i="1"/>
  <c r="AD141" i="1"/>
  <c r="AE141" i="1"/>
  <c r="AF141" i="1"/>
  <c r="Z142" i="1"/>
  <c r="AA142" i="1"/>
  <c r="AB142" i="1"/>
  <c r="AC142" i="1"/>
  <c r="AD142" i="1"/>
  <c r="AE142" i="1"/>
  <c r="AF142" i="1"/>
  <c r="Z143" i="1"/>
  <c r="AA143" i="1"/>
  <c r="AB143" i="1"/>
  <c r="AC143" i="1"/>
  <c r="AD143" i="1"/>
  <c r="AE143" i="1"/>
  <c r="AF143" i="1"/>
  <c r="Z144" i="1"/>
  <c r="AA144" i="1"/>
  <c r="AB144" i="1"/>
  <c r="AC144" i="1"/>
  <c r="AD144" i="1"/>
  <c r="AE144" i="1"/>
  <c r="AF144" i="1"/>
  <c r="Z145" i="1"/>
  <c r="AA145" i="1"/>
  <c r="AB145" i="1"/>
  <c r="AC145" i="1"/>
  <c r="AD145" i="1"/>
  <c r="AE145" i="1"/>
  <c r="AF145" i="1"/>
  <c r="Z146" i="1"/>
  <c r="AA146" i="1"/>
  <c r="AB146" i="1"/>
  <c r="AC146" i="1"/>
  <c r="AD146" i="1"/>
  <c r="AE146" i="1"/>
  <c r="AF146" i="1"/>
  <c r="Z147" i="1"/>
  <c r="AA147" i="1"/>
  <c r="AB147" i="1"/>
  <c r="AC147" i="1"/>
  <c r="AD147" i="1"/>
  <c r="AE147" i="1"/>
  <c r="AF147" i="1"/>
  <c r="Z148" i="1"/>
  <c r="AA148" i="1"/>
  <c r="AB148" i="1"/>
  <c r="AC148" i="1"/>
  <c r="AD148" i="1"/>
  <c r="AE148" i="1"/>
  <c r="AF148" i="1"/>
  <c r="Z149" i="1"/>
  <c r="AA149" i="1"/>
  <c r="AB149" i="1"/>
  <c r="AC149" i="1"/>
  <c r="AD149" i="1"/>
  <c r="AE149" i="1"/>
  <c r="AF149" i="1"/>
  <c r="Z150" i="1"/>
  <c r="AA150" i="1"/>
  <c r="AB150" i="1"/>
  <c r="AC150" i="1"/>
  <c r="AD150" i="1"/>
  <c r="AE150" i="1"/>
  <c r="Z151" i="1"/>
  <c r="AA151" i="1"/>
  <c r="AB151" i="1"/>
  <c r="AC151" i="1"/>
  <c r="AD151" i="1"/>
  <c r="AE151" i="1"/>
  <c r="AF151" i="1"/>
  <c r="Z152" i="1"/>
  <c r="AA152" i="1"/>
  <c r="AB152" i="1"/>
  <c r="AC152" i="1"/>
  <c r="AD152" i="1"/>
  <c r="AE152" i="1"/>
  <c r="AF152" i="1"/>
  <c r="Z153" i="1"/>
  <c r="AA153" i="1"/>
  <c r="AB153" i="1"/>
  <c r="AC153" i="1"/>
  <c r="AD153" i="1"/>
  <c r="AE153" i="1"/>
  <c r="AF153" i="1"/>
  <c r="Z154" i="1"/>
  <c r="AA154" i="1"/>
  <c r="AB154" i="1"/>
  <c r="AC154" i="1"/>
  <c r="AD154" i="1"/>
  <c r="AE154" i="1"/>
  <c r="AF154" i="1"/>
  <c r="Z155" i="1"/>
  <c r="AA155" i="1"/>
  <c r="AB155" i="1"/>
  <c r="AC155" i="1"/>
  <c r="AD155" i="1"/>
  <c r="AE155" i="1"/>
  <c r="AF155" i="1"/>
  <c r="Z156" i="1"/>
  <c r="AA156" i="1"/>
  <c r="AB156" i="1"/>
  <c r="AC156" i="1"/>
  <c r="AD156" i="1"/>
  <c r="AE156" i="1"/>
  <c r="AF156" i="1"/>
  <c r="Z157" i="1"/>
  <c r="AA157" i="1"/>
  <c r="AB157" i="1"/>
  <c r="AC157" i="1"/>
  <c r="AD157" i="1"/>
  <c r="AE157" i="1"/>
  <c r="AF157" i="1"/>
  <c r="Z158" i="1"/>
  <c r="AA158" i="1"/>
  <c r="AB158" i="1"/>
  <c r="AC158" i="1"/>
  <c r="AD158" i="1"/>
  <c r="AE158" i="1"/>
  <c r="AF158" i="1"/>
  <c r="Z159" i="1"/>
  <c r="AA159" i="1"/>
  <c r="AB159" i="1"/>
  <c r="AC159" i="1"/>
  <c r="AD159" i="1"/>
  <c r="AE159" i="1"/>
  <c r="AF159" i="1"/>
  <c r="Z160" i="1"/>
  <c r="AA160" i="1"/>
  <c r="AB160" i="1"/>
  <c r="AC160" i="1"/>
  <c r="AD160" i="1"/>
  <c r="AE160" i="1"/>
  <c r="AF160" i="1"/>
  <c r="Z161" i="1"/>
  <c r="AA161" i="1"/>
  <c r="AB161" i="1"/>
  <c r="AC161" i="1"/>
  <c r="AD161" i="1"/>
  <c r="AE161" i="1"/>
  <c r="AF161" i="1"/>
  <c r="Z162" i="1"/>
  <c r="AA162" i="1"/>
  <c r="AB162" i="1"/>
  <c r="AC162" i="1"/>
  <c r="AD162" i="1"/>
  <c r="AE162" i="1"/>
  <c r="AF162" i="1"/>
  <c r="Z163" i="1"/>
  <c r="AA163" i="1"/>
  <c r="AB163" i="1"/>
  <c r="AC163" i="1"/>
  <c r="AD163" i="1"/>
  <c r="AE163" i="1"/>
  <c r="AF163" i="1"/>
  <c r="Z164" i="1"/>
  <c r="AA164" i="1"/>
  <c r="AB164" i="1"/>
  <c r="AC164" i="1"/>
  <c r="AD164" i="1"/>
  <c r="AE164" i="1"/>
  <c r="AF164" i="1"/>
  <c r="Z165" i="1"/>
  <c r="AA165" i="1"/>
  <c r="AB165" i="1"/>
  <c r="AC165" i="1"/>
  <c r="AD165" i="1"/>
  <c r="AE165" i="1"/>
  <c r="AF165" i="1"/>
  <c r="Z166" i="1"/>
  <c r="AA166" i="1"/>
  <c r="AB166" i="1"/>
  <c r="AC166" i="1"/>
  <c r="AD166" i="1"/>
  <c r="AE166" i="1"/>
  <c r="AF166" i="1"/>
  <c r="Z167" i="1"/>
  <c r="AA167" i="1"/>
  <c r="AB167" i="1"/>
  <c r="AC167" i="1"/>
  <c r="AD167" i="1"/>
  <c r="AE167" i="1"/>
  <c r="AF167" i="1"/>
  <c r="P2" i="1"/>
  <c r="L2" i="1" s="1"/>
  <c r="D2" i="7" s="1"/>
  <c r="P3" i="1"/>
  <c r="L3" i="1" s="1"/>
  <c r="D3" i="7" s="1"/>
  <c r="G3" i="7" s="1"/>
  <c r="H3" i="7" s="1"/>
  <c r="I3" i="7" s="1"/>
  <c r="P4" i="1"/>
  <c r="L4" i="1" s="1"/>
  <c r="D4" i="7" s="1"/>
  <c r="G4" i="7" s="1"/>
  <c r="H4" i="7" s="1"/>
  <c r="I4" i="7" s="1"/>
  <c r="P5" i="1"/>
  <c r="L5" i="1" s="1"/>
  <c r="D5" i="7" s="1"/>
  <c r="G5" i="7" s="1"/>
  <c r="H5" i="7" s="1"/>
  <c r="I5" i="7" s="1"/>
  <c r="P6" i="1"/>
  <c r="L6" i="1" s="1"/>
  <c r="D6" i="7" s="1"/>
  <c r="G6" i="7" s="1"/>
  <c r="H6" i="7" s="1"/>
  <c r="I6" i="7" s="1"/>
  <c r="P7" i="1"/>
  <c r="L7" i="1" s="1"/>
  <c r="D7" i="7" s="1"/>
  <c r="G7" i="7" s="1"/>
  <c r="H7" i="7" s="1"/>
  <c r="I7" i="7" s="1"/>
  <c r="P8" i="1"/>
  <c r="L8" i="1" s="1"/>
  <c r="D8" i="7" s="1"/>
  <c r="G8" i="7" s="1"/>
  <c r="H8" i="7" s="1"/>
  <c r="I8" i="7" s="1"/>
  <c r="P9" i="1"/>
  <c r="L9" i="1" s="1"/>
  <c r="D9" i="7" s="1"/>
  <c r="G9" i="7" s="1"/>
  <c r="H9" i="7" s="1"/>
  <c r="I9" i="7" s="1"/>
  <c r="P10" i="1"/>
  <c r="L10" i="1" s="1"/>
  <c r="D10" i="7" s="1"/>
  <c r="G10" i="7" s="1"/>
  <c r="H10" i="7" s="1"/>
  <c r="I10" i="7" s="1"/>
  <c r="P11" i="1"/>
  <c r="L11" i="1" s="1"/>
  <c r="D11" i="7" s="1"/>
  <c r="G11" i="7" s="1"/>
  <c r="H11" i="7" s="1"/>
  <c r="I11" i="7" s="1"/>
  <c r="P12" i="1"/>
  <c r="L12" i="1" s="1"/>
  <c r="D12" i="7" s="1"/>
  <c r="G12" i="7" s="1"/>
  <c r="H12" i="7" s="1"/>
  <c r="I12" i="7" s="1"/>
  <c r="P13" i="1"/>
  <c r="L13" i="1" s="1"/>
  <c r="D13" i="7" s="1"/>
  <c r="G13" i="7" s="1"/>
  <c r="H13" i="7" s="1"/>
  <c r="I13" i="7" s="1"/>
  <c r="P14" i="1"/>
  <c r="L14" i="1" s="1"/>
  <c r="D14" i="7" s="1"/>
  <c r="G14" i="7" s="1"/>
  <c r="H14" i="7" s="1"/>
  <c r="I14" i="7" s="1"/>
  <c r="P15" i="1"/>
  <c r="L15" i="1" s="1"/>
  <c r="D15" i="7" s="1"/>
  <c r="G15" i="7" s="1"/>
  <c r="H15" i="7" s="1"/>
  <c r="I15" i="7" s="1"/>
  <c r="P16" i="1"/>
  <c r="L16" i="1" s="1"/>
  <c r="D16" i="7" s="1"/>
  <c r="G16" i="7" s="1"/>
  <c r="H16" i="7" s="1"/>
  <c r="I16" i="7" s="1"/>
  <c r="P17" i="1"/>
  <c r="L17" i="1" s="1"/>
  <c r="D17" i="7" s="1"/>
  <c r="G17" i="7" s="1"/>
  <c r="H17" i="7" s="1"/>
  <c r="I17" i="7" s="1"/>
  <c r="P18" i="1"/>
  <c r="L18" i="1" s="1"/>
  <c r="D18" i="7" s="1"/>
  <c r="G18" i="7" s="1"/>
  <c r="H18" i="7" s="1"/>
  <c r="I18" i="7" s="1"/>
  <c r="P19" i="1"/>
  <c r="L19" i="1" s="1"/>
  <c r="P20" i="1"/>
  <c r="L20" i="1" s="1"/>
  <c r="P21" i="1"/>
  <c r="L21" i="1" s="1"/>
  <c r="P22" i="1"/>
  <c r="L22" i="1" s="1"/>
  <c r="P23" i="1"/>
  <c r="L23" i="1" s="1"/>
  <c r="P24" i="1"/>
  <c r="L24" i="1" s="1"/>
  <c r="P25" i="1"/>
  <c r="L25" i="1" s="1"/>
  <c r="P26" i="1"/>
  <c r="L26" i="1" s="1"/>
  <c r="P27" i="1"/>
  <c r="L27" i="1" s="1"/>
  <c r="P28" i="1"/>
  <c r="L28" i="1" s="1"/>
  <c r="P29" i="1"/>
  <c r="L29" i="1" s="1"/>
  <c r="P30" i="1"/>
  <c r="L30" i="1" s="1"/>
  <c r="D2" i="3" s="1"/>
  <c r="P31" i="1"/>
  <c r="L31" i="1" s="1"/>
  <c r="D3" i="3" s="1"/>
  <c r="P32" i="1"/>
  <c r="L32" i="1" s="1"/>
  <c r="D4" i="3" s="1"/>
  <c r="P33" i="1"/>
  <c r="L33" i="1" s="1"/>
  <c r="D5" i="3" s="1"/>
  <c r="G5" i="3" s="1"/>
  <c r="P34" i="1"/>
  <c r="L34" i="1" s="1"/>
  <c r="D6" i="3" s="1"/>
  <c r="P35" i="1"/>
  <c r="L35" i="1" s="1"/>
  <c r="D7" i="3" s="1"/>
  <c r="P36" i="1"/>
  <c r="L36" i="1" s="1"/>
  <c r="D8" i="3" s="1"/>
  <c r="G8" i="3" s="1"/>
  <c r="P37" i="1"/>
  <c r="L37" i="1" s="1"/>
  <c r="D9" i="3" s="1"/>
  <c r="G9" i="3" s="1"/>
  <c r="P38" i="1"/>
  <c r="L38" i="1" s="1"/>
  <c r="D10" i="3" s="1"/>
  <c r="P39" i="1"/>
  <c r="L39" i="1" s="1"/>
  <c r="D11" i="3" s="1"/>
  <c r="P40" i="1"/>
  <c r="L40" i="1" s="1"/>
  <c r="D12" i="3" s="1"/>
  <c r="P41" i="1"/>
  <c r="L41" i="1" s="1"/>
  <c r="D13" i="3" s="1"/>
  <c r="G13" i="3" s="1"/>
  <c r="P42" i="1"/>
  <c r="L42" i="1" s="1"/>
  <c r="D14" i="3" s="1"/>
  <c r="G14" i="3" s="1"/>
  <c r="P43" i="1"/>
  <c r="L43" i="1" s="1"/>
  <c r="D15" i="3" s="1"/>
  <c r="G15" i="3" s="1"/>
  <c r="P44" i="1"/>
  <c r="L44" i="1" s="1"/>
  <c r="D16" i="3" s="1"/>
  <c r="G16" i="3" s="1"/>
  <c r="P45" i="1"/>
  <c r="L45" i="1" s="1"/>
  <c r="D17" i="3" s="1"/>
  <c r="G17" i="3" s="1"/>
  <c r="P46" i="1"/>
  <c r="L46" i="1" s="1"/>
  <c r="D18" i="3" s="1"/>
  <c r="P47" i="1"/>
  <c r="L47" i="1" s="1"/>
  <c r="D19" i="3" s="1"/>
  <c r="P48" i="1"/>
  <c r="L48" i="1" s="1"/>
  <c r="D20" i="3" s="1"/>
  <c r="P49" i="1"/>
  <c r="L49" i="1" s="1"/>
  <c r="D21" i="3" s="1"/>
  <c r="G21" i="3" s="1"/>
  <c r="P50" i="1"/>
  <c r="L50" i="1" s="1"/>
  <c r="D22" i="3" s="1"/>
  <c r="G22" i="3" s="1"/>
  <c r="P51" i="1"/>
  <c r="L51" i="1" s="1"/>
  <c r="D23" i="3" s="1"/>
  <c r="G23" i="3" s="1"/>
  <c r="P52" i="1"/>
  <c r="L52" i="1" s="1"/>
  <c r="D24" i="3" s="1"/>
  <c r="G24" i="3" s="1"/>
  <c r="P53" i="1"/>
  <c r="L53" i="1" s="1"/>
  <c r="D25" i="3" s="1"/>
  <c r="P54" i="1"/>
  <c r="L54" i="1" s="1"/>
  <c r="D26" i="3" s="1"/>
  <c r="G26" i="3" s="1"/>
  <c r="P55" i="1"/>
  <c r="L55" i="1" s="1"/>
  <c r="D27" i="3" s="1"/>
  <c r="G27" i="3" s="1"/>
  <c r="P56" i="1"/>
  <c r="L56" i="1" s="1"/>
  <c r="D28" i="3" s="1"/>
  <c r="P57" i="1"/>
  <c r="L57" i="1" s="1"/>
  <c r="D29" i="3" s="1"/>
  <c r="G29" i="3" s="1"/>
  <c r="P58" i="1"/>
  <c r="L58" i="1" s="1"/>
  <c r="D30" i="3" s="1"/>
  <c r="P59" i="1"/>
  <c r="L59" i="1" s="1"/>
  <c r="D31" i="3" s="1"/>
  <c r="G31" i="3" s="1"/>
  <c r="P60" i="1"/>
  <c r="L60" i="1" s="1"/>
  <c r="D32" i="3" s="1"/>
  <c r="G32" i="3" s="1"/>
  <c r="P61" i="1"/>
  <c r="L61" i="1" s="1"/>
  <c r="D33" i="3" s="1"/>
  <c r="G33" i="3" s="1"/>
  <c r="P62" i="1"/>
  <c r="L62" i="1" s="1"/>
  <c r="D34" i="3" s="1"/>
  <c r="P63" i="1"/>
  <c r="L63" i="1" s="1"/>
  <c r="D35" i="3" s="1"/>
  <c r="P64" i="1"/>
  <c r="L64" i="1" s="1"/>
  <c r="D36" i="3" s="1"/>
  <c r="G36" i="3" s="1"/>
  <c r="P65" i="1"/>
  <c r="L65" i="1" s="1"/>
  <c r="D37" i="3" s="1"/>
  <c r="G37" i="3" s="1"/>
  <c r="P66" i="1"/>
  <c r="L66" i="1" s="1"/>
  <c r="D38" i="3" s="1"/>
  <c r="G38" i="3" s="1"/>
  <c r="P67" i="1"/>
  <c r="L67" i="1" s="1"/>
  <c r="D39" i="3" s="1"/>
  <c r="G39" i="3" s="1"/>
  <c r="P68" i="1"/>
  <c r="L68" i="1" s="1"/>
  <c r="D40" i="3" s="1"/>
  <c r="G40" i="3" s="1"/>
  <c r="P69" i="1"/>
  <c r="L69" i="1" s="1"/>
  <c r="D41" i="3" s="1"/>
  <c r="P70" i="1"/>
  <c r="L70" i="1" s="1"/>
  <c r="D42" i="3" s="1"/>
  <c r="P71" i="1"/>
  <c r="L71" i="1" s="1"/>
  <c r="D43" i="3" s="1"/>
  <c r="P72" i="1"/>
  <c r="L72" i="1" s="1"/>
  <c r="D44" i="3" s="1"/>
  <c r="P73" i="1"/>
  <c r="L73" i="1" s="1"/>
  <c r="D45" i="3" s="1"/>
  <c r="G45" i="3" s="1"/>
  <c r="P74" i="1"/>
  <c r="L74" i="1" s="1"/>
  <c r="D46" i="3" s="1"/>
  <c r="G46" i="3" s="1"/>
  <c r="P75" i="1"/>
  <c r="L75" i="1" s="1"/>
  <c r="D47" i="3" s="1"/>
  <c r="G47" i="3" s="1"/>
  <c r="P76" i="1"/>
  <c r="L76" i="1" s="1"/>
  <c r="D48" i="3" s="1"/>
  <c r="G48" i="3" s="1"/>
  <c r="P77" i="1"/>
  <c r="L77" i="1" s="1"/>
  <c r="D49" i="3" s="1"/>
  <c r="P78" i="1"/>
  <c r="L78" i="1" s="1"/>
  <c r="D50" i="3" s="1"/>
  <c r="P79" i="1"/>
  <c r="L79" i="1" s="1"/>
  <c r="D51" i="3" s="1"/>
  <c r="G51" i="3" s="1"/>
  <c r="P80" i="1"/>
  <c r="L80" i="1" s="1"/>
  <c r="D52" i="3" s="1"/>
  <c r="G52" i="3" s="1"/>
  <c r="P81" i="1"/>
  <c r="L81" i="1" s="1"/>
  <c r="D53" i="3" s="1"/>
  <c r="G53" i="3" s="1"/>
  <c r="P82" i="1"/>
  <c r="L82" i="1" s="1"/>
  <c r="D54" i="3" s="1"/>
  <c r="P83" i="1"/>
  <c r="L83" i="1" s="1"/>
  <c r="D55" i="3" s="1"/>
  <c r="G55" i="3" s="1"/>
  <c r="P84" i="1"/>
  <c r="L84" i="1" s="1"/>
  <c r="D56" i="3" s="1"/>
  <c r="G56" i="3" s="1"/>
  <c r="P85" i="1"/>
  <c r="L85" i="1" s="1"/>
  <c r="D57" i="3" s="1"/>
  <c r="G57" i="3" s="1"/>
  <c r="P86" i="1"/>
  <c r="L86" i="1" s="1"/>
  <c r="D58" i="3" s="1"/>
  <c r="P87" i="1"/>
  <c r="L87" i="1" s="1"/>
  <c r="D59" i="3" s="1"/>
  <c r="P88" i="1"/>
  <c r="L88" i="1" s="1"/>
  <c r="D60" i="3" s="1"/>
  <c r="P89" i="1"/>
  <c r="L89" i="1" s="1"/>
  <c r="D61" i="3" s="1"/>
  <c r="G61" i="3" s="1"/>
  <c r="P90" i="1"/>
  <c r="L90" i="1" s="1"/>
  <c r="D62" i="3" s="1"/>
  <c r="G62" i="3" s="1"/>
  <c r="P91" i="1"/>
  <c r="L91" i="1" s="1"/>
  <c r="D63" i="3" s="1"/>
  <c r="G63" i="3" s="1"/>
  <c r="P92" i="1"/>
  <c r="L92" i="1" s="1"/>
  <c r="D64" i="3" s="1"/>
  <c r="G64" i="3" s="1"/>
  <c r="P93" i="1"/>
  <c r="L93" i="1" s="1"/>
  <c r="D65" i="3" s="1"/>
  <c r="G65" i="3" s="1"/>
  <c r="P94" i="1"/>
  <c r="L94" i="1" s="1"/>
  <c r="D66" i="3" s="1"/>
  <c r="P95" i="1"/>
  <c r="L95" i="1" s="1"/>
  <c r="D67" i="3" s="1"/>
  <c r="P96" i="1"/>
  <c r="L96" i="1" s="1"/>
  <c r="D68" i="3" s="1"/>
  <c r="P97" i="1"/>
  <c r="L97" i="1" s="1"/>
  <c r="D69" i="3" s="1"/>
  <c r="G69" i="3" s="1"/>
  <c r="P98" i="1"/>
  <c r="L98" i="1" s="1"/>
  <c r="D70" i="3" s="1"/>
  <c r="G70" i="3" s="1"/>
  <c r="P99" i="1"/>
  <c r="L99" i="1" s="1"/>
  <c r="D71" i="3" s="1"/>
  <c r="P100" i="1"/>
  <c r="L100" i="1" s="1"/>
  <c r="D72" i="3" s="1"/>
  <c r="P101" i="1"/>
  <c r="L101" i="1" s="1"/>
  <c r="D73" i="3" s="1"/>
  <c r="G73" i="3" s="1"/>
  <c r="P102" i="1"/>
  <c r="L102" i="1" s="1"/>
  <c r="D74" i="3" s="1"/>
  <c r="P103" i="1"/>
  <c r="L103" i="1" s="1"/>
  <c r="D75" i="3" s="1"/>
  <c r="P104" i="1"/>
  <c r="L104" i="1" s="1"/>
  <c r="D76" i="3" s="1"/>
  <c r="P105" i="1"/>
  <c r="L105" i="1" s="1"/>
  <c r="D77" i="3" s="1"/>
  <c r="G77" i="3" s="1"/>
  <c r="P106" i="1"/>
  <c r="L106" i="1" s="1"/>
  <c r="D78" i="3" s="1"/>
  <c r="G78" i="3" s="1"/>
  <c r="P107" i="1"/>
  <c r="L107" i="1" s="1"/>
  <c r="D79" i="3" s="1"/>
  <c r="G79" i="3" s="1"/>
  <c r="P108" i="1"/>
  <c r="L108" i="1" s="1"/>
  <c r="D80" i="3" s="1"/>
  <c r="G80" i="3" s="1"/>
  <c r="P109" i="1"/>
  <c r="L109" i="1" s="1"/>
  <c r="D81" i="3" s="1"/>
  <c r="G81" i="3" s="1"/>
  <c r="P110" i="1"/>
  <c r="L110" i="1" s="1"/>
  <c r="D82" i="3" s="1"/>
  <c r="P111" i="1"/>
  <c r="L111" i="1" s="1"/>
  <c r="D83" i="3" s="1"/>
  <c r="P112" i="1"/>
  <c r="L112" i="1" s="1"/>
  <c r="D84" i="3" s="1"/>
  <c r="G84" i="3" s="1"/>
  <c r="P113" i="1"/>
  <c r="L113" i="1" s="1"/>
  <c r="D85" i="3" s="1"/>
  <c r="G85" i="3" s="1"/>
  <c r="P114" i="1"/>
  <c r="L114" i="1" s="1"/>
  <c r="D86" i="3" s="1"/>
  <c r="P115" i="1"/>
  <c r="L115" i="1" s="1"/>
  <c r="D87" i="3" s="1"/>
  <c r="P116" i="1"/>
  <c r="L116" i="1" s="1"/>
  <c r="D88" i="3" s="1"/>
  <c r="G88" i="3" s="1"/>
  <c r="P117" i="1"/>
  <c r="L117" i="1" s="1"/>
  <c r="D89" i="3" s="1"/>
  <c r="G89" i="3" s="1"/>
  <c r="P118" i="1"/>
  <c r="L118" i="1" s="1"/>
  <c r="D90" i="3" s="1"/>
  <c r="P119" i="1"/>
  <c r="L119" i="1" s="1"/>
  <c r="D91" i="3" s="1"/>
  <c r="P120" i="1"/>
  <c r="L120" i="1" s="1"/>
  <c r="D92" i="3" s="1"/>
  <c r="G92" i="3" s="1"/>
  <c r="P121" i="1"/>
  <c r="L121" i="1" s="1"/>
  <c r="D93" i="3" s="1"/>
  <c r="P122" i="1"/>
  <c r="L122" i="1" s="1"/>
  <c r="D94" i="3" s="1"/>
  <c r="G94" i="3" s="1"/>
  <c r="P123" i="1"/>
  <c r="L123" i="1" s="1"/>
  <c r="D95" i="3" s="1"/>
  <c r="G95" i="3" s="1"/>
  <c r="P124" i="1"/>
  <c r="L124" i="1" s="1"/>
  <c r="D96" i="3" s="1"/>
  <c r="G96" i="3" s="1"/>
  <c r="P125" i="1"/>
  <c r="L125" i="1" s="1"/>
  <c r="D97" i="3" s="1"/>
  <c r="G97" i="3" s="1"/>
  <c r="P126" i="1"/>
  <c r="L126" i="1" s="1"/>
  <c r="D98" i="3" s="1"/>
  <c r="G98" i="3" s="1"/>
  <c r="P127" i="1"/>
  <c r="L127" i="1" s="1"/>
  <c r="D99" i="3" s="1"/>
  <c r="G99" i="3" s="1"/>
  <c r="P128" i="1"/>
  <c r="L128" i="1" s="1"/>
  <c r="D100" i="3" s="1"/>
  <c r="P129" i="1"/>
  <c r="L129" i="1" s="1"/>
  <c r="D101" i="3" s="1"/>
  <c r="P130" i="1"/>
  <c r="L130" i="1" s="1"/>
  <c r="D102" i="3" s="1"/>
  <c r="G102" i="3" s="1"/>
  <c r="P131" i="1"/>
  <c r="L131" i="1" s="1"/>
  <c r="D103" i="3" s="1"/>
  <c r="P132" i="1"/>
  <c r="L132" i="1" s="1"/>
  <c r="D104" i="3" s="1"/>
  <c r="G104" i="3" s="1"/>
  <c r="P133" i="1"/>
  <c r="L133" i="1" s="1"/>
  <c r="D105" i="3" s="1"/>
  <c r="P134" i="1"/>
  <c r="L134" i="1" s="1"/>
  <c r="D106" i="3" s="1"/>
  <c r="P135" i="1"/>
  <c r="L135" i="1" s="1"/>
  <c r="D107" i="3" s="1"/>
  <c r="P136" i="1"/>
  <c r="L136" i="1" s="1"/>
  <c r="D108" i="3" s="1"/>
  <c r="P137" i="1"/>
  <c r="L137" i="1" s="1"/>
  <c r="D109" i="3" s="1"/>
  <c r="G109" i="3" s="1"/>
  <c r="P138" i="1"/>
  <c r="L138" i="1" s="1"/>
  <c r="D110" i="3" s="1"/>
  <c r="G110" i="3" s="1"/>
  <c r="P139" i="1"/>
  <c r="L139" i="1" s="1"/>
  <c r="D111" i="3" s="1"/>
  <c r="G111" i="3" s="1"/>
  <c r="P140" i="1"/>
  <c r="L140" i="1" s="1"/>
  <c r="D112" i="3" s="1"/>
  <c r="G112" i="3" s="1"/>
  <c r="P141" i="1"/>
  <c r="L141" i="1" s="1"/>
  <c r="D113" i="3" s="1"/>
  <c r="P142" i="1"/>
  <c r="L142" i="1" s="1"/>
  <c r="D114" i="3" s="1"/>
  <c r="G114" i="3" s="1"/>
  <c r="P143" i="1"/>
  <c r="L143" i="1" s="1"/>
  <c r="D115" i="3" s="1"/>
  <c r="G115" i="3" s="1"/>
  <c r="P144" i="1"/>
  <c r="L144" i="1" s="1"/>
  <c r="D116" i="3" s="1"/>
  <c r="P145" i="1"/>
  <c r="L145" i="1" s="1"/>
  <c r="D117" i="3" s="1"/>
  <c r="P146" i="1"/>
  <c r="L146" i="1" s="1"/>
  <c r="D118" i="3" s="1"/>
  <c r="G118" i="3" s="1"/>
  <c r="P147" i="1"/>
  <c r="L147" i="1" s="1"/>
  <c r="D119" i="3" s="1"/>
  <c r="G119" i="3" s="1"/>
  <c r="P148" i="1"/>
  <c r="L148" i="1" s="1"/>
  <c r="D120" i="3" s="1"/>
  <c r="P149" i="1"/>
  <c r="L149" i="1" s="1"/>
  <c r="D121" i="3" s="1"/>
  <c r="P150" i="1"/>
  <c r="L150" i="1" s="1"/>
  <c r="D122" i="3" s="1"/>
  <c r="P151" i="1"/>
  <c r="L151" i="1" s="1"/>
  <c r="D123" i="3" s="1"/>
  <c r="P152" i="1"/>
  <c r="L152" i="1" s="1"/>
  <c r="D124" i="3" s="1"/>
  <c r="P153" i="1"/>
  <c r="L153" i="1" s="1"/>
  <c r="D125" i="3" s="1"/>
  <c r="G125" i="3" s="1"/>
  <c r="P154" i="1"/>
  <c r="L154" i="1" s="1"/>
  <c r="D126" i="3" s="1"/>
  <c r="G126" i="3" s="1"/>
  <c r="P155" i="1"/>
  <c r="L155" i="1" s="1"/>
  <c r="D127" i="3" s="1"/>
  <c r="G127" i="3" s="1"/>
  <c r="P156" i="1"/>
  <c r="L156" i="1" s="1"/>
  <c r="D128" i="3" s="1"/>
  <c r="G128" i="3" s="1"/>
  <c r="P157" i="1"/>
  <c r="L157" i="1" s="1"/>
  <c r="D129" i="3" s="1"/>
  <c r="G129" i="3" s="1"/>
  <c r="P158" i="1"/>
  <c r="L158" i="1" s="1"/>
  <c r="D130" i="3" s="1"/>
  <c r="G130" i="3" s="1"/>
  <c r="P159" i="1"/>
  <c r="L159" i="1" s="1"/>
  <c r="D131" i="3" s="1"/>
  <c r="G131" i="3" s="1"/>
  <c r="P160" i="1"/>
  <c r="L160" i="1" s="1"/>
  <c r="D132" i="3" s="1"/>
  <c r="G132" i="3" s="1"/>
  <c r="P161" i="1"/>
  <c r="L161" i="1" s="1"/>
  <c r="D133" i="3" s="1"/>
  <c r="G133" i="3" s="1"/>
  <c r="P162" i="1"/>
  <c r="L162" i="1" s="1"/>
  <c r="D134" i="3" s="1"/>
  <c r="G134" i="3" s="1"/>
  <c r="P163" i="1"/>
  <c r="L163" i="1" s="1"/>
  <c r="D135" i="3" s="1"/>
  <c r="G135" i="3" s="1"/>
  <c r="P164" i="1"/>
  <c r="L164" i="1" s="1"/>
  <c r="D136" i="3" s="1"/>
  <c r="P165" i="1"/>
  <c r="L165" i="1" s="1"/>
  <c r="D137" i="3" s="1"/>
  <c r="G137" i="3" s="1"/>
  <c r="P166" i="1"/>
  <c r="L166" i="1" s="1"/>
  <c r="D138" i="3" s="1"/>
  <c r="P167" i="1"/>
  <c r="L167" i="1" s="1"/>
  <c r="D139" i="3" s="1"/>
  <c r="M21" i="5"/>
  <c r="L64" i="5"/>
  <c r="L127" i="5"/>
  <c r="L112" i="5"/>
  <c r="M86" i="5"/>
  <c r="M74" i="5"/>
  <c r="L156" i="5"/>
  <c r="M52" i="5"/>
  <c r="L57" i="5"/>
  <c r="M95" i="5"/>
  <c r="L128" i="5"/>
  <c r="L154" i="5"/>
  <c r="M134" i="5"/>
  <c r="L153" i="5"/>
  <c r="L70" i="5"/>
  <c r="L144" i="5"/>
  <c r="L100" i="5"/>
  <c r="M80" i="5"/>
  <c r="M60" i="5"/>
  <c r="L23" i="5"/>
  <c r="M115" i="5"/>
  <c r="L38" i="5"/>
  <c r="L69" i="5"/>
  <c r="L74" i="5"/>
  <c r="M26" i="5"/>
  <c r="M62" i="5"/>
  <c r="L83" i="5"/>
  <c r="L18" i="5"/>
  <c r="L34" i="5"/>
  <c r="L27" i="5"/>
  <c r="L159" i="5"/>
  <c r="M82" i="5"/>
  <c r="M33" i="5"/>
  <c r="L157" i="5"/>
  <c r="M121" i="5"/>
  <c r="M160" i="5"/>
  <c r="M152" i="5"/>
  <c r="M135" i="5"/>
  <c r="L89" i="5"/>
  <c r="M124" i="5"/>
  <c r="M113" i="5"/>
  <c r="M151" i="5"/>
  <c r="M72" i="5"/>
  <c r="L134" i="5"/>
  <c r="L95" i="5"/>
  <c r="L11" i="5"/>
  <c r="L49" i="5"/>
  <c r="M137" i="5"/>
  <c r="M109" i="5"/>
  <c r="L77" i="5"/>
  <c r="M2" i="5"/>
  <c r="L129" i="5"/>
  <c r="L47" i="5"/>
  <c r="L152" i="5"/>
  <c r="M161" i="5"/>
  <c r="G2" i="7" l="1"/>
  <c r="H2" i="7" s="1"/>
  <c r="I2" i="7" s="1"/>
  <c r="E1" i="1"/>
  <c r="G76" i="3"/>
  <c r="H76" i="3" s="1"/>
  <c r="I76" i="3" s="1"/>
  <c r="G12" i="3"/>
  <c r="H12" i="3" s="1"/>
  <c r="I12" i="3" s="1"/>
  <c r="G75" i="3"/>
  <c r="H75" i="3" s="1"/>
  <c r="I75" i="3" s="1"/>
  <c r="G60" i="3"/>
  <c r="H60" i="3" s="1"/>
  <c r="I60" i="3" s="1"/>
  <c r="G91" i="3"/>
  <c r="H91" i="3" s="1"/>
  <c r="I91" i="3" s="1"/>
  <c r="G138" i="3"/>
  <c r="H138" i="3" s="1"/>
  <c r="I138" i="3" s="1"/>
  <c r="G124" i="3"/>
  <c r="H124" i="3" s="1"/>
  <c r="I124" i="3" s="1"/>
  <c r="G108" i="3"/>
  <c r="H108" i="3" s="1"/>
  <c r="I108" i="3" s="1"/>
  <c r="G44" i="3"/>
  <c r="H44" i="3" s="1"/>
  <c r="I44" i="3" s="1"/>
  <c r="G139" i="3"/>
  <c r="H139" i="3" s="1"/>
  <c r="I139" i="3" s="1"/>
  <c r="G123" i="3"/>
  <c r="H123" i="3" s="1"/>
  <c r="I123" i="3" s="1"/>
  <c r="G122" i="3"/>
  <c r="H122" i="3" s="1"/>
  <c r="I122" i="3" s="1"/>
  <c r="H92" i="3"/>
  <c r="I92" i="3" s="1"/>
  <c r="G28" i="3"/>
  <c r="H28" i="3" s="1"/>
  <c r="I28" i="3" s="1"/>
  <c r="G107" i="3"/>
  <c r="H107" i="3" s="1"/>
  <c r="I107" i="3" s="1"/>
  <c r="G59" i="3"/>
  <c r="H59" i="3" s="1"/>
  <c r="I59" i="3" s="1"/>
  <c r="H27" i="3"/>
  <c r="I27" i="3" s="1"/>
  <c r="G11" i="3"/>
  <c r="H11" i="3" s="1"/>
  <c r="I11" i="3" s="1"/>
  <c r="G106" i="3"/>
  <c r="H106" i="3" s="1"/>
  <c r="I106" i="3" s="1"/>
  <c r="G43" i="3"/>
  <c r="H43" i="3" s="1"/>
  <c r="I43" i="3" s="1"/>
  <c r="G10" i="3"/>
  <c r="H10" i="3" s="1"/>
  <c r="I10" i="3" s="1"/>
  <c r="G136" i="3"/>
  <c r="H136" i="3" s="1"/>
  <c r="I136" i="3" s="1"/>
  <c r="H102" i="3"/>
  <c r="I102" i="3" s="1"/>
  <c r="H53" i="3"/>
  <c r="I53" i="3" s="1"/>
  <c r="H37" i="3"/>
  <c r="I37" i="3" s="1"/>
  <c r="H5" i="3"/>
  <c r="I5" i="3" s="1"/>
  <c r="H132" i="3"/>
  <c r="I132" i="3" s="1"/>
  <c r="G116" i="3"/>
  <c r="H116" i="3" s="1"/>
  <c r="I116" i="3" s="1"/>
  <c r="G74" i="3"/>
  <c r="H74" i="3" s="1"/>
  <c r="I74" i="3" s="1"/>
  <c r="G72" i="3"/>
  <c r="H72" i="3" s="1"/>
  <c r="I72" i="3" s="1"/>
  <c r="H131" i="3"/>
  <c r="I131" i="3" s="1"/>
  <c r="H115" i="3"/>
  <c r="I115" i="3" s="1"/>
  <c r="H99" i="3"/>
  <c r="I99" i="3" s="1"/>
  <c r="G100" i="3"/>
  <c r="H100" i="3" s="1"/>
  <c r="I100" i="3" s="1"/>
  <c r="G58" i="3"/>
  <c r="H58" i="3" s="1"/>
  <c r="I58" i="3" s="1"/>
  <c r="H130" i="3"/>
  <c r="I130" i="3" s="1"/>
  <c r="H114" i="3"/>
  <c r="I114" i="3" s="1"/>
  <c r="H98" i="3"/>
  <c r="I98" i="3" s="1"/>
  <c r="G42" i="3"/>
  <c r="H42" i="3" s="1"/>
  <c r="I42" i="3" s="1"/>
  <c r="G67" i="3"/>
  <c r="H67" i="3" s="1"/>
  <c r="I67" i="3" s="1"/>
  <c r="G82" i="3"/>
  <c r="H82" i="3" s="1"/>
  <c r="I82" i="3" s="1"/>
  <c r="H129" i="3"/>
  <c r="I129" i="3" s="1"/>
  <c r="H97" i="3"/>
  <c r="I97" i="3" s="1"/>
  <c r="H81" i="3"/>
  <c r="I81" i="3" s="1"/>
  <c r="H65" i="3"/>
  <c r="I65" i="3" s="1"/>
  <c r="H33" i="3"/>
  <c r="I33" i="3" s="1"/>
  <c r="H17" i="3"/>
  <c r="I17" i="3" s="1"/>
  <c r="G68" i="3"/>
  <c r="H68" i="3" s="1"/>
  <c r="I68" i="3" s="1"/>
  <c r="G6" i="3"/>
  <c r="H6" i="3" s="1"/>
  <c r="I6" i="3" s="1"/>
  <c r="G66" i="3"/>
  <c r="H66" i="3" s="1"/>
  <c r="I66" i="3" s="1"/>
  <c r="G113" i="3"/>
  <c r="H113" i="3" s="1"/>
  <c r="I113" i="3" s="1"/>
  <c r="H26" i="3"/>
  <c r="I26" i="3" s="1"/>
  <c r="H89" i="3"/>
  <c r="I89" i="3" s="1"/>
  <c r="H24" i="3"/>
  <c r="I24" i="3" s="1"/>
  <c r="H39" i="3"/>
  <c r="I39" i="3" s="1"/>
  <c r="H22" i="3"/>
  <c r="I22" i="3" s="1"/>
  <c r="G86" i="3"/>
  <c r="H86" i="3" s="1"/>
  <c r="I86" i="3" s="1"/>
  <c r="G83" i="3"/>
  <c r="H83" i="3" s="1"/>
  <c r="I83" i="3" s="1"/>
  <c r="H96" i="3"/>
  <c r="I96" i="3" s="1"/>
  <c r="H48" i="3"/>
  <c r="I48" i="3" s="1"/>
  <c r="H32" i="3"/>
  <c r="I32" i="3" s="1"/>
  <c r="H16" i="3"/>
  <c r="I16" i="3" s="1"/>
  <c r="G35" i="3"/>
  <c r="H35" i="3" s="1"/>
  <c r="I35" i="3" s="1"/>
  <c r="G50" i="3"/>
  <c r="H50" i="3" s="1"/>
  <c r="I50" i="3" s="1"/>
  <c r="H73" i="3"/>
  <c r="I73" i="3" s="1"/>
  <c r="G25" i="3"/>
  <c r="H25" i="3" s="1"/>
  <c r="I25" i="3" s="1"/>
  <c r="H56" i="3"/>
  <c r="I56" i="3" s="1"/>
  <c r="H69" i="3"/>
  <c r="I69" i="3" s="1"/>
  <c r="H52" i="3"/>
  <c r="I52" i="3" s="1"/>
  <c r="G54" i="3"/>
  <c r="H54" i="3" s="1"/>
  <c r="I54" i="3" s="1"/>
  <c r="H128" i="3"/>
  <c r="I128" i="3" s="1"/>
  <c r="H80" i="3"/>
  <c r="I80" i="3" s="1"/>
  <c r="H127" i="3"/>
  <c r="I127" i="3" s="1"/>
  <c r="H95" i="3"/>
  <c r="I95" i="3" s="1"/>
  <c r="H63" i="3"/>
  <c r="I63" i="3" s="1"/>
  <c r="H31" i="3"/>
  <c r="I31" i="3" s="1"/>
  <c r="H15" i="3"/>
  <c r="I15" i="3" s="1"/>
  <c r="G19" i="3"/>
  <c r="H19" i="3" s="1"/>
  <c r="I19" i="3" s="1"/>
  <c r="G34" i="3"/>
  <c r="H34" i="3" s="1"/>
  <c r="I34" i="3" s="1"/>
  <c r="H137" i="3"/>
  <c r="I137" i="3" s="1"/>
  <c r="H9" i="3"/>
  <c r="I9" i="3" s="1"/>
  <c r="H88" i="3"/>
  <c r="I88" i="3" s="1"/>
  <c r="G41" i="3"/>
  <c r="H41" i="3" s="1"/>
  <c r="I41" i="3" s="1"/>
  <c r="H135" i="3"/>
  <c r="I135" i="3" s="1"/>
  <c r="H23" i="3"/>
  <c r="I23" i="3" s="1"/>
  <c r="H134" i="3"/>
  <c r="I134" i="3" s="1"/>
  <c r="H38" i="3"/>
  <c r="I38" i="3" s="1"/>
  <c r="G90" i="3"/>
  <c r="H90" i="3" s="1"/>
  <c r="I90" i="3" s="1"/>
  <c r="H36" i="3"/>
  <c r="I36" i="3" s="1"/>
  <c r="H51" i="3"/>
  <c r="I51" i="3" s="1"/>
  <c r="H57" i="3"/>
  <c r="I57" i="3" s="1"/>
  <c r="H104" i="3"/>
  <c r="I104" i="3" s="1"/>
  <c r="H40" i="3"/>
  <c r="I40" i="3" s="1"/>
  <c r="H8" i="3"/>
  <c r="I8" i="3" s="1"/>
  <c r="H119" i="3"/>
  <c r="I119" i="3" s="1"/>
  <c r="H55" i="3"/>
  <c r="I55" i="3" s="1"/>
  <c r="H118" i="3"/>
  <c r="I118" i="3" s="1"/>
  <c r="H70" i="3"/>
  <c r="I70" i="3" s="1"/>
  <c r="G120" i="3"/>
  <c r="H120" i="3" s="1"/>
  <c r="I120" i="3" s="1"/>
  <c r="H133" i="3"/>
  <c r="I133" i="3" s="1"/>
  <c r="H85" i="3"/>
  <c r="I85" i="3" s="1"/>
  <c r="H21" i="3"/>
  <c r="I21" i="3" s="1"/>
  <c r="H84" i="3"/>
  <c r="I84" i="3" s="1"/>
  <c r="G7" i="3"/>
  <c r="H7" i="3" s="1"/>
  <c r="I7" i="3" s="1"/>
  <c r="H112" i="3"/>
  <c r="I112" i="3" s="1"/>
  <c r="H64" i="3"/>
  <c r="I64" i="3" s="1"/>
  <c r="H111" i="3"/>
  <c r="I111" i="3" s="1"/>
  <c r="H79" i="3"/>
  <c r="I79" i="3" s="1"/>
  <c r="H47" i="3"/>
  <c r="I47" i="3" s="1"/>
  <c r="H126" i="3"/>
  <c r="I126" i="3" s="1"/>
  <c r="H110" i="3"/>
  <c r="I110" i="3" s="1"/>
  <c r="H94" i="3"/>
  <c r="I94" i="3" s="1"/>
  <c r="H78" i="3"/>
  <c r="I78" i="3" s="1"/>
  <c r="H62" i="3"/>
  <c r="I62" i="3" s="1"/>
  <c r="H46" i="3"/>
  <c r="I46" i="3" s="1"/>
  <c r="H14" i="3"/>
  <c r="I14" i="3" s="1"/>
  <c r="G117" i="3"/>
  <c r="H117" i="3" s="1"/>
  <c r="I117" i="3" s="1"/>
  <c r="G20" i="3"/>
  <c r="H20" i="3" s="1"/>
  <c r="I20" i="3" s="1"/>
  <c r="G121" i="3"/>
  <c r="H121" i="3" s="1"/>
  <c r="I121" i="3" s="1"/>
  <c r="G103" i="3"/>
  <c r="H103" i="3" s="1"/>
  <c r="I103" i="3" s="1"/>
  <c r="G30" i="3"/>
  <c r="H30" i="3" s="1"/>
  <c r="I30" i="3" s="1"/>
  <c r="G3" i="3"/>
  <c r="H3" i="3" s="1"/>
  <c r="I3" i="3" s="1"/>
  <c r="G18" i="3"/>
  <c r="H18" i="3" s="1"/>
  <c r="I18" i="3" s="1"/>
  <c r="H125" i="3"/>
  <c r="I125" i="3" s="1"/>
  <c r="H109" i="3"/>
  <c r="I109" i="3" s="1"/>
  <c r="H77" i="3"/>
  <c r="I77" i="3" s="1"/>
  <c r="H61" i="3"/>
  <c r="I61" i="3" s="1"/>
  <c r="H45" i="3"/>
  <c r="I45" i="3" s="1"/>
  <c r="H29" i="3"/>
  <c r="I29" i="3" s="1"/>
  <c r="H13" i="3"/>
  <c r="I13" i="3" s="1"/>
  <c r="G101" i="3"/>
  <c r="H101" i="3" s="1"/>
  <c r="I101" i="3" s="1"/>
  <c r="G4" i="3"/>
  <c r="H4" i="3" s="1"/>
  <c r="I4" i="3" s="1"/>
  <c r="G93" i="3"/>
  <c r="H93" i="3" s="1"/>
  <c r="I93" i="3" s="1"/>
  <c r="G105" i="3"/>
  <c r="H105" i="3" s="1"/>
  <c r="I105" i="3" s="1"/>
  <c r="G87" i="3"/>
  <c r="H87" i="3" s="1"/>
  <c r="I87" i="3" s="1"/>
  <c r="G2" i="3"/>
  <c r="H2" i="3" s="1"/>
  <c r="I2" i="3" s="1"/>
  <c r="G49" i="3"/>
  <c r="H49" i="3" s="1"/>
  <c r="I49" i="3" s="1"/>
  <c r="G71" i="3"/>
  <c r="H71" i="3" s="1"/>
  <c r="I71" i="3" s="1"/>
  <c r="M166" i="1"/>
  <c r="E138" i="3" s="1"/>
  <c r="M143" i="1"/>
  <c r="E115" i="3" s="1"/>
  <c r="M127" i="1"/>
  <c r="E99" i="3" s="1"/>
  <c r="M111" i="1"/>
  <c r="E83" i="3" s="1"/>
  <c r="M34" i="1"/>
  <c r="E6" i="3" s="1"/>
  <c r="M20" i="1"/>
  <c r="M7" i="1"/>
  <c r="E7" i="7" s="1"/>
  <c r="M161" i="1"/>
  <c r="E133" i="3" s="1"/>
  <c r="M138" i="1"/>
  <c r="E110" i="3" s="1"/>
  <c r="M122" i="1"/>
  <c r="E94" i="3" s="1"/>
  <c r="M108" i="1"/>
  <c r="E80" i="3" s="1"/>
  <c r="M41" i="1"/>
  <c r="E13" i="3" s="1"/>
  <c r="M33" i="1"/>
  <c r="E5" i="3" s="1"/>
  <c r="M154" i="1"/>
  <c r="E126" i="3" s="1"/>
  <c r="M147" i="1"/>
  <c r="E119" i="3" s="1"/>
  <c r="M131" i="1"/>
  <c r="E103" i="3" s="1"/>
  <c r="M115" i="1"/>
  <c r="E87" i="3" s="1"/>
  <c r="M99" i="1"/>
  <c r="E71" i="3" s="1"/>
  <c r="M80" i="1"/>
  <c r="E52" i="3" s="1"/>
  <c r="M74" i="1"/>
  <c r="E46" i="3" s="1"/>
  <c r="M26" i="1"/>
  <c r="M93" i="1"/>
  <c r="E65" i="3" s="1"/>
  <c r="M11" i="1"/>
  <c r="E11" i="7" s="1"/>
  <c r="M66" i="1"/>
  <c r="E38" i="3" s="1"/>
  <c r="M58" i="1"/>
  <c r="E30" i="3" s="1"/>
  <c r="M158" i="1"/>
  <c r="E130" i="3" s="1"/>
  <c r="M135" i="1"/>
  <c r="E107" i="3" s="1"/>
  <c r="M119" i="1"/>
  <c r="E91" i="3" s="1"/>
  <c r="M156" i="1"/>
  <c r="E128" i="3" s="1"/>
  <c r="M149" i="1"/>
  <c r="E121" i="3" s="1"/>
  <c r="M103" i="1"/>
  <c r="E75" i="3" s="1"/>
  <c r="M45" i="1"/>
  <c r="E17" i="3" s="1"/>
  <c r="M165" i="1"/>
  <c r="E137" i="3" s="1"/>
  <c r="M142" i="1"/>
  <c r="E114" i="3" s="1"/>
  <c r="M126" i="1"/>
  <c r="E98" i="3" s="1"/>
  <c r="M73" i="1"/>
  <c r="E45" i="3" s="1"/>
  <c r="M2" i="1"/>
  <c r="E2" i="7" s="1"/>
  <c r="M167" i="1"/>
  <c r="E139" i="3" s="1"/>
  <c r="M151" i="1"/>
  <c r="E123" i="3" s="1"/>
  <c r="M144" i="1"/>
  <c r="E116" i="3" s="1"/>
  <c r="M128" i="1"/>
  <c r="E100" i="3" s="1"/>
  <c r="M112" i="1"/>
  <c r="E84" i="3" s="1"/>
  <c r="M72" i="1"/>
  <c r="E44" i="3" s="1"/>
  <c r="M43" i="1"/>
  <c r="E15" i="3" s="1"/>
  <c r="M37" i="1"/>
  <c r="E9" i="3" s="1"/>
  <c r="M9" i="1"/>
  <c r="E9" i="7" s="1"/>
  <c r="M87" i="1"/>
  <c r="E59" i="3" s="1"/>
  <c r="M71" i="1"/>
  <c r="E43" i="3" s="1"/>
  <c r="M31" i="1"/>
  <c r="E3" i="3" s="1"/>
  <c r="M24" i="1"/>
  <c r="M160" i="1"/>
  <c r="E132" i="3" s="1"/>
  <c r="M137" i="1"/>
  <c r="E109" i="3" s="1"/>
  <c r="M121" i="1"/>
  <c r="E93" i="3" s="1"/>
  <c r="M59" i="1"/>
  <c r="E31" i="3" s="1"/>
  <c r="M30" i="1"/>
  <c r="E2" i="3" s="1"/>
  <c r="M17" i="1"/>
  <c r="E17" i="7" s="1"/>
  <c r="M8" i="1"/>
  <c r="E8" i="7" s="1"/>
  <c r="M89" i="1"/>
  <c r="E61" i="3" s="1"/>
  <c r="M76" i="1"/>
  <c r="E48" i="3" s="1"/>
  <c r="M23" i="1"/>
  <c r="M153" i="1"/>
  <c r="E125" i="3" s="1"/>
  <c r="M146" i="1"/>
  <c r="E118" i="3" s="1"/>
  <c r="M130" i="1"/>
  <c r="E102" i="3" s="1"/>
  <c r="M114" i="1"/>
  <c r="E86" i="3" s="1"/>
  <c r="M97" i="1"/>
  <c r="E69" i="3" s="1"/>
  <c r="M77" i="1"/>
  <c r="E49" i="3" s="1"/>
  <c r="M52" i="1"/>
  <c r="E24" i="3" s="1"/>
  <c r="M64" i="1"/>
  <c r="E36" i="3" s="1"/>
  <c r="M50" i="1"/>
  <c r="E22" i="3" s="1"/>
  <c r="M15" i="1"/>
  <c r="E15" i="7" s="1"/>
  <c r="M55" i="1"/>
  <c r="E27" i="3" s="1"/>
  <c r="M16" i="1"/>
  <c r="E16" i="7" s="1"/>
  <c r="M124" i="1"/>
  <c r="E96" i="3" s="1"/>
  <c r="M38" i="1"/>
  <c r="E10" i="3" s="1"/>
  <c r="M32" i="1"/>
  <c r="E4" i="3" s="1"/>
  <c r="M102" i="1"/>
  <c r="E74" i="3" s="1"/>
  <c r="M25" i="1"/>
  <c r="M85" i="1"/>
  <c r="E57" i="3" s="1"/>
  <c r="M51" i="1"/>
  <c r="E23" i="3" s="1"/>
  <c r="M110" i="1"/>
  <c r="E82" i="3" s="1"/>
  <c r="M94" i="1"/>
  <c r="E66" i="3" s="1"/>
  <c r="M12" i="1"/>
  <c r="E12" i="7" s="1"/>
  <c r="M10" i="1"/>
  <c r="E10" i="7" s="1"/>
  <c r="M106" i="1"/>
  <c r="E78" i="3" s="1"/>
  <c r="M162" i="1"/>
  <c r="E134" i="3" s="1"/>
  <c r="M139" i="1"/>
  <c r="E111" i="3" s="1"/>
  <c r="M123" i="1"/>
  <c r="E95" i="3" s="1"/>
  <c r="M3" i="1"/>
  <c r="E3" i="7" s="1"/>
  <c r="M100" i="1"/>
  <c r="E72" i="3" s="1"/>
  <c r="M44" i="1"/>
  <c r="E16" i="3" s="1"/>
  <c r="M22" i="1"/>
  <c r="M82" i="1"/>
  <c r="E54" i="3" s="1"/>
  <c r="M48" i="1"/>
  <c r="E20" i="3" s="1"/>
  <c r="M155" i="1"/>
  <c r="E127" i="3" s="1"/>
  <c r="M148" i="1"/>
  <c r="E120" i="3" s="1"/>
  <c r="M132" i="1"/>
  <c r="E104" i="3" s="1"/>
  <c r="M116" i="1"/>
  <c r="E88" i="3" s="1"/>
  <c r="M109" i="1"/>
  <c r="E81" i="3" s="1"/>
  <c r="M101" i="1"/>
  <c r="E73" i="3" s="1"/>
  <c r="M92" i="1"/>
  <c r="E64" i="3" s="1"/>
  <c r="M35" i="1"/>
  <c r="E7" i="3" s="1"/>
  <c r="M95" i="1"/>
  <c r="E67" i="3" s="1"/>
  <c r="M63" i="1"/>
  <c r="E35" i="3" s="1"/>
  <c r="M75" i="1"/>
  <c r="E47" i="3" s="1"/>
  <c r="M62" i="1"/>
  <c r="E34" i="3" s="1"/>
  <c r="M36" i="1"/>
  <c r="E8" i="3" s="1"/>
  <c r="M29" i="1"/>
  <c r="M164" i="1"/>
  <c r="E136" i="3" s="1"/>
  <c r="M141" i="1"/>
  <c r="E113" i="3" s="1"/>
  <c r="M125" i="1"/>
  <c r="E97" i="3" s="1"/>
  <c r="M104" i="1"/>
  <c r="E76" i="3" s="1"/>
  <c r="M90" i="1"/>
  <c r="E62" i="3" s="1"/>
  <c r="M70" i="1"/>
  <c r="E42" i="3" s="1"/>
  <c r="M56" i="1"/>
  <c r="E28" i="3" s="1"/>
  <c r="M28" i="1"/>
  <c r="M42" i="1"/>
  <c r="E14" i="3" s="1"/>
  <c r="M157" i="1"/>
  <c r="E129" i="3" s="1"/>
  <c r="M150" i="1"/>
  <c r="E122" i="3" s="1"/>
  <c r="M134" i="1"/>
  <c r="E106" i="3" s="1"/>
  <c r="M118" i="1"/>
  <c r="E90" i="3" s="1"/>
  <c r="M105" i="1"/>
  <c r="E77" i="3" s="1"/>
  <c r="M96" i="1"/>
  <c r="E68" i="3" s="1"/>
  <c r="M57" i="1"/>
  <c r="E29" i="3" s="1"/>
  <c r="M86" i="1"/>
  <c r="E58" i="3" s="1"/>
  <c r="M68" i="1"/>
  <c r="E40" i="3" s="1"/>
  <c r="M21" i="1"/>
  <c r="M40" i="1"/>
  <c r="E12" i="3" s="1"/>
  <c r="M78" i="1"/>
  <c r="E50" i="3" s="1"/>
  <c r="M69" i="1"/>
  <c r="E41" i="3" s="1"/>
  <c r="M27" i="1"/>
  <c r="M14" i="1"/>
  <c r="E14" i="7" s="1"/>
  <c r="M88" i="1"/>
  <c r="E60" i="3" s="1"/>
  <c r="M140" i="1"/>
  <c r="E112" i="3" s="1"/>
  <c r="M67" i="1"/>
  <c r="E39" i="3" s="1"/>
  <c r="M61" i="1"/>
  <c r="E33" i="3" s="1"/>
  <c r="M19" i="1"/>
  <c r="M6" i="1"/>
  <c r="E6" i="7" s="1"/>
  <c r="M60" i="1"/>
  <c r="E32" i="3" s="1"/>
  <c r="M46" i="1"/>
  <c r="E18" i="3" s="1"/>
  <c r="M39" i="1"/>
  <c r="E11" i="3" s="1"/>
  <c r="M5" i="1"/>
  <c r="E5" i="7" s="1"/>
  <c r="M54" i="1"/>
  <c r="E26" i="3" s="1"/>
  <c r="M65" i="1"/>
  <c r="E37" i="3" s="1"/>
  <c r="M18" i="1"/>
  <c r="E18" i="7" s="1"/>
  <c r="M53" i="1"/>
  <c r="E25" i="3" s="1"/>
  <c r="M159" i="1"/>
  <c r="E131" i="3" s="1"/>
  <c r="M136" i="1"/>
  <c r="E108" i="3" s="1"/>
  <c r="M120" i="1"/>
  <c r="E92" i="3" s="1"/>
  <c r="M91" i="1"/>
  <c r="E63" i="3" s="1"/>
  <c r="M81" i="1"/>
  <c r="E53" i="3" s="1"/>
  <c r="M152" i="1"/>
  <c r="E124" i="3" s="1"/>
  <c r="M145" i="1"/>
  <c r="E117" i="3" s="1"/>
  <c r="M129" i="1"/>
  <c r="E101" i="3" s="1"/>
  <c r="M113" i="1"/>
  <c r="E85" i="3" s="1"/>
  <c r="M49" i="1"/>
  <c r="E21" i="3" s="1"/>
  <c r="M47" i="1"/>
  <c r="E19" i="3" s="1"/>
  <c r="M13" i="1"/>
  <c r="E13" i="7" s="1"/>
  <c r="M107" i="1"/>
  <c r="E79" i="3" s="1"/>
  <c r="M163" i="1"/>
  <c r="E135" i="3" s="1"/>
  <c r="M83" i="1"/>
  <c r="E55" i="3" s="1"/>
  <c r="M133" i="1"/>
  <c r="E105" i="3" s="1"/>
  <c r="M117" i="1"/>
  <c r="E89" i="3" s="1"/>
  <c r="M98" i="1"/>
  <c r="E70" i="3" s="1"/>
  <c r="M84" i="1"/>
  <c r="E56" i="3" s="1"/>
  <c r="M4" i="1"/>
  <c r="E4" i="7" s="1"/>
  <c r="M79" i="1"/>
  <c r="E51" i="3" s="1"/>
  <c r="N128" i="1"/>
  <c r="F100" i="3" s="1"/>
  <c r="C100" i="3"/>
  <c r="K120" i="1"/>
  <c r="C92" i="3" s="1"/>
  <c r="N73" i="1"/>
  <c r="F45" i="3" s="1"/>
  <c r="N36" i="1"/>
  <c r="F8" i="3" s="1"/>
  <c r="N9" i="1"/>
  <c r="N55" i="1"/>
  <c r="F27" i="3" s="1"/>
  <c r="N151" i="1"/>
  <c r="F123" i="3" s="1"/>
  <c r="C10" i="4"/>
  <c r="N40" i="1"/>
  <c r="F12" i="3" s="1"/>
  <c r="C29" i="4"/>
  <c r="C22" i="4"/>
  <c r="N25" i="1"/>
  <c r="N7" i="1"/>
  <c r="N113" i="1"/>
  <c r="F85" i="3" s="1"/>
  <c r="N167" i="1"/>
  <c r="F139" i="3" s="1"/>
  <c r="N93" i="1"/>
  <c r="F65" i="3" s="1"/>
  <c r="N26" i="1"/>
  <c r="N69" i="1"/>
  <c r="F41" i="3" s="1"/>
  <c r="N154" i="1"/>
  <c r="F126" i="3" s="1"/>
  <c r="N3" i="1"/>
  <c r="N16" i="1"/>
  <c r="N163" i="1"/>
  <c r="F135" i="3" s="1"/>
  <c r="N101" i="1"/>
  <c r="F73" i="3" s="1"/>
  <c r="N150" i="1"/>
  <c r="F122" i="3" s="1"/>
  <c r="N17" i="1"/>
  <c r="C12" i="4"/>
  <c r="N57" i="1"/>
  <c r="F29" i="3" s="1"/>
  <c r="N20" i="1"/>
  <c r="N105" i="1"/>
  <c r="F77" i="3" s="1"/>
  <c r="N115" i="1"/>
  <c r="F87" i="3" s="1"/>
  <c r="C6" i="4"/>
  <c r="N33" i="1"/>
  <c r="F5" i="3" s="1"/>
  <c r="N127" i="1"/>
  <c r="F99" i="3" s="1"/>
  <c r="C8" i="4"/>
  <c r="N126" i="1"/>
  <c r="F98" i="3" s="1"/>
  <c r="N85" i="1"/>
  <c r="F57" i="3" s="1"/>
  <c r="N83" i="1"/>
  <c r="F55" i="3" s="1"/>
  <c r="C23" i="4"/>
  <c r="N72" i="1"/>
  <c r="F44" i="3" s="1"/>
  <c r="N21" i="1"/>
  <c r="N50" i="1"/>
  <c r="F22" i="3" s="1"/>
  <c r="N155" i="1"/>
  <c r="F127" i="3" s="1"/>
  <c r="N2" i="1"/>
  <c r="N74" i="1"/>
  <c r="F46" i="3" s="1"/>
  <c r="N60" i="1"/>
  <c r="F32" i="3" s="1"/>
  <c r="N121" i="1"/>
  <c r="F93" i="3" s="1"/>
  <c r="N161" i="1"/>
  <c r="F133" i="3" s="1"/>
  <c r="N22" i="1"/>
  <c r="N92" i="1"/>
  <c r="F64" i="3" s="1"/>
  <c r="N162" i="1"/>
  <c r="F134" i="3" s="1"/>
  <c r="C26" i="4"/>
  <c r="C30" i="4"/>
  <c r="N158" i="1"/>
  <c r="F130" i="3" s="1"/>
  <c r="N157" i="1"/>
  <c r="F129" i="3" s="1"/>
  <c r="N109" i="1"/>
  <c r="F81" i="3" s="1"/>
  <c r="N30" i="1"/>
  <c r="F2" i="3" s="1"/>
  <c r="N29" i="1"/>
  <c r="N152" i="1"/>
  <c r="F124" i="3" s="1"/>
  <c r="N56" i="1"/>
  <c r="F28" i="3" s="1"/>
  <c r="N145" i="1"/>
  <c r="F117" i="3" s="1"/>
  <c r="N75" i="1"/>
  <c r="F47" i="3" s="1"/>
  <c r="C24" i="4"/>
  <c r="N53" i="1"/>
  <c r="F25" i="3" s="1"/>
  <c r="N52" i="1"/>
  <c r="F24" i="3" s="1"/>
  <c r="N6" i="1"/>
  <c r="N41" i="1"/>
  <c r="F13" i="3" s="1"/>
  <c r="N111" i="1"/>
  <c r="F83" i="3" s="1"/>
  <c r="N137" i="1"/>
  <c r="F109" i="3" s="1"/>
  <c r="N141" i="1"/>
  <c r="F113" i="3" s="1"/>
  <c r="N144" i="1"/>
  <c r="F116" i="3" s="1"/>
  <c r="N79" i="1"/>
  <c r="F51" i="3" s="1"/>
  <c r="N24" i="1"/>
  <c r="N112" i="1"/>
  <c r="F84" i="3" s="1"/>
  <c r="N12" i="1"/>
  <c r="N130" i="1"/>
  <c r="F102" i="3" s="1"/>
  <c r="N8" i="1"/>
  <c r="N159" i="1"/>
  <c r="F131" i="3" s="1"/>
  <c r="N139" i="1"/>
  <c r="F111" i="3" s="1"/>
  <c r="N88" i="1"/>
  <c r="F60" i="3" s="1"/>
  <c r="N160" i="1"/>
  <c r="F132" i="3" s="1"/>
  <c r="N23" i="1"/>
  <c r="N63" i="1"/>
  <c r="F35" i="3" s="1"/>
  <c r="N143" i="1"/>
  <c r="F115" i="3" s="1"/>
  <c r="N64" i="1"/>
  <c r="F36" i="3" s="1"/>
  <c r="N67" i="1"/>
  <c r="F39" i="3" s="1"/>
  <c r="N10" i="1"/>
  <c r="N156" i="1"/>
  <c r="F128" i="3" s="1"/>
  <c r="N106" i="1"/>
  <c r="F78" i="3" s="1"/>
  <c r="N117" i="1"/>
  <c r="F89" i="3" s="1"/>
  <c r="N148" i="1"/>
  <c r="F120" i="3" s="1"/>
  <c r="N37" i="1"/>
  <c r="F9" i="3" s="1"/>
  <c r="N32" i="1"/>
  <c r="F4" i="3" s="1"/>
  <c r="N147" i="1"/>
  <c r="F119" i="3" s="1"/>
  <c r="N134" i="1"/>
  <c r="F106" i="3" s="1"/>
  <c r="N131" i="1"/>
  <c r="F103" i="3" s="1"/>
  <c r="N165" i="1"/>
  <c r="F137" i="3" s="1"/>
  <c r="N84" i="1"/>
  <c r="F56" i="3" s="1"/>
  <c r="N132" i="1"/>
  <c r="F104" i="3" s="1"/>
  <c r="N77" i="1"/>
  <c r="F49" i="3" s="1"/>
  <c r="C32" i="4"/>
  <c r="N46" i="1"/>
  <c r="F18" i="3" s="1"/>
  <c r="N166" i="1"/>
  <c r="F138" i="3" s="1"/>
  <c r="N125" i="1"/>
  <c r="F97" i="3" s="1"/>
  <c r="N49" i="1"/>
  <c r="F21" i="3" s="1"/>
  <c r="N39" i="1"/>
  <c r="F11" i="3" s="1"/>
  <c r="N47" i="1"/>
  <c r="F19" i="3" s="1"/>
  <c r="N142" i="1"/>
  <c r="F114" i="3" s="1"/>
  <c r="N119" i="1"/>
  <c r="F91" i="3" s="1"/>
  <c r="N164" i="1"/>
  <c r="F136" i="3" s="1"/>
  <c r="N34" i="1"/>
  <c r="F6" i="3" s="1"/>
  <c r="N135" i="1"/>
  <c r="F107" i="3" s="1"/>
  <c r="N68" i="1"/>
  <c r="F40" i="3" s="1"/>
  <c r="N118" i="1"/>
  <c r="F90" i="3" s="1"/>
  <c r="N38" i="1"/>
  <c r="F10" i="3" s="1"/>
  <c r="N136" i="1"/>
  <c r="F108" i="3" s="1"/>
  <c r="N62" i="1"/>
  <c r="F34" i="3" s="1"/>
  <c r="N42" i="1"/>
  <c r="F14" i="3" s="1"/>
  <c r="N81" i="1"/>
  <c r="F53" i="3" s="1"/>
  <c r="N86" i="1"/>
  <c r="F58" i="3" s="1"/>
  <c r="N51" i="1"/>
  <c r="F23" i="3" s="1"/>
  <c r="C5" i="4"/>
  <c r="N87" i="1"/>
  <c r="F59" i="3" s="1"/>
  <c r="N82" i="1"/>
  <c r="F54" i="3" s="1"/>
  <c r="N35" i="1"/>
  <c r="F7" i="3" s="1"/>
  <c r="N103" i="1"/>
  <c r="F75" i="3" s="1"/>
  <c r="N98" i="1"/>
  <c r="F70" i="3" s="1"/>
  <c r="N5" i="1"/>
  <c r="N80" i="1"/>
  <c r="F52" i="3" s="1"/>
  <c r="N100" i="1"/>
  <c r="F72" i="3" s="1"/>
  <c r="N90" i="1"/>
  <c r="F62" i="3" s="1"/>
  <c r="N110" i="1"/>
  <c r="F82" i="3" s="1"/>
  <c r="N146" i="1"/>
  <c r="F118" i="3" s="1"/>
  <c r="N116" i="1"/>
  <c r="F88" i="3" s="1"/>
  <c r="N107" i="1"/>
  <c r="F79" i="3" s="1"/>
  <c r="N91" i="1"/>
  <c r="F63" i="3" s="1"/>
  <c r="N133" i="1"/>
  <c r="F105" i="3" s="1"/>
  <c r="N58" i="1"/>
  <c r="F30" i="3" s="1"/>
  <c r="N95" i="1"/>
  <c r="F67" i="3" s="1"/>
  <c r="N45" i="1"/>
  <c r="F17" i="3" s="1"/>
  <c r="C4" i="4"/>
  <c r="C27" i="4"/>
  <c r="N27" i="1"/>
  <c r="N4" i="1"/>
  <c r="N71" i="1"/>
  <c r="F43" i="3" s="1"/>
  <c r="C18" i="4"/>
  <c r="N108" i="1"/>
  <c r="F80" i="3" s="1"/>
  <c r="N102" i="1"/>
  <c r="F74" i="3" s="1"/>
  <c r="N31" i="1"/>
  <c r="F3" i="3" s="1"/>
  <c r="C31" i="4"/>
  <c r="C16" i="4"/>
  <c r="N70" i="1"/>
  <c r="F42" i="3" s="1"/>
  <c r="C2" i="4"/>
  <c r="N43" i="1"/>
  <c r="F15" i="3" s="1"/>
  <c r="C9" i="4"/>
  <c r="N66" i="1"/>
  <c r="F38" i="3" s="1"/>
  <c r="N76" i="1"/>
  <c r="F48" i="3" s="1"/>
  <c r="C14" i="4"/>
  <c r="N14" i="1"/>
  <c r="N129" i="1"/>
  <c r="F101" i="3" s="1"/>
  <c r="N94" i="1"/>
  <c r="F66" i="3" s="1"/>
  <c r="C7" i="4"/>
  <c r="N153" i="1"/>
  <c r="F125" i="3" s="1"/>
  <c r="N123" i="1"/>
  <c r="F95" i="3" s="1"/>
  <c r="N54" i="1"/>
  <c r="F26" i="3" s="1"/>
  <c r="N114" i="1"/>
  <c r="F86" i="3" s="1"/>
  <c r="C21" i="4"/>
  <c r="N61" i="1"/>
  <c r="F33" i="3" s="1"/>
  <c r="C3" i="4"/>
  <c r="N124" i="1"/>
  <c r="F96" i="3" s="1"/>
  <c r="N65" i="1"/>
  <c r="F37" i="3" s="1"/>
  <c r="N99" i="1"/>
  <c r="F71" i="3" s="1"/>
  <c r="N48" i="1"/>
  <c r="F20" i="3" s="1"/>
  <c r="N59" i="1"/>
  <c r="F31" i="3" s="1"/>
  <c r="C20" i="4"/>
  <c r="N11" i="1"/>
  <c r="C11" i="4"/>
  <c r="N15" i="1"/>
  <c r="C15" i="4"/>
  <c r="C17" i="4"/>
  <c r="N104" i="1"/>
  <c r="F76" i="3" s="1"/>
  <c r="N97" i="1"/>
  <c r="F69" i="3" s="1"/>
  <c r="C19" i="4"/>
  <c r="N140" i="1"/>
  <c r="F112" i="3" s="1"/>
  <c r="N138" i="1"/>
  <c r="F110" i="3" s="1"/>
  <c r="N19" i="1"/>
  <c r="N18" i="1"/>
  <c r="N78" i="1"/>
  <c r="F50" i="3" s="1"/>
  <c r="C25" i="4"/>
  <c r="N44" i="1"/>
  <c r="F16" i="3" s="1"/>
  <c r="C13" i="4"/>
  <c r="N13" i="1"/>
  <c r="C28" i="4"/>
  <c r="N28" i="1"/>
  <c r="N89" i="1"/>
  <c r="F61" i="3" s="1"/>
  <c r="N149" i="1"/>
  <c r="F121" i="3" s="1"/>
  <c r="N122" i="1"/>
  <c r="F94" i="3" s="1"/>
  <c r="N96" i="1"/>
  <c r="F68" i="3" s="1"/>
  <c r="L66" i="5"/>
  <c r="L48" i="5"/>
  <c r="M81" i="5"/>
  <c r="M130" i="5"/>
  <c r="M65" i="5"/>
  <c r="L141" i="5"/>
  <c r="L161" i="5"/>
  <c r="L5" i="5"/>
  <c r="L78" i="5"/>
  <c r="M163" i="5"/>
  <c r="L8" i="5"/>
  <c r="L132" i="5"/>
  <c r="L61" i="5"/>
  <c r="L75" i="5"/>
  <c r="M78" i="5"/>
  <c r="M68" i="5"/>
  <c r="M147" i="5"/>
  <c r="M88" i="5"/>
  <c r="L19" i="5"/>
  <c r="L4" i="5"/>
  <c r="L13" i="5"/>
  <c r="L45" i="5"/>
  <c r="L149" i="5"/>
  <c r="M10" i="5"/>
  <c r="M112" i="5"/>
  <c r="M125" i="5"/>
  <c r="L33" i="5"/>
  <c r="M67" i="5"/>
  <c r="M41" i="5"/>
  <c r="L15" i="5"/>
  <c r="M100" i="5"/>
  <c r="M73" i="5"/>
  <c r="M66" i="5"/>
  <c r="M8" i="5"/>
  <c r="M14" i="5"/>
  <c r="L20" i="5"/>
  <c r="L126" i="5"/>
  <c r="L125" i="5"/>
  <c r="M154" i="5"/>
  <c r="L155" i="5"/>
  <c r="L29" i="5"/>
  <c r="M18" i="5"/>
  <c r="M69" i="5"/>
  <c r="M23" i="5"/>
  <c r="M36" i="5"/>
  <c r="M128" i="5"/>
  <c r="L114" i="5"/>
  <c r="L9" i="5"/>
  <c r="M48" i="5"/>
  <c r="L62" i="5"/>
  <c r="M17" i="5"/>
  <c r="M101" i="5"/>
  <c r="L97" i="5"/>
  <c r="M32" i="5"/>
  <c r="L22" i="5"/>
  <c r="L91" i="5"/>
  <c r="L3" i="5"/>
  <c r="M85" i="5"/>
  <c r="L82" i="5"/>
  <c r="M108" i="5"/>
  <c r="L67" i="5"/>
  <c r="L21" i="5"/>
  <c r="L158" i="5"/>
  <c r="L30" i="5"/>
  <c r="M98" i="5"/>
  <c r="M44" i="5"/>
  <c r="M77" i="5"/>
  <c r="M64" i="5"/>
  <c r="L28" i="5"/>
  <c r="M117" i="5"/>
  <c r="M106" i="5"/>
  <c r="L118" i="5"/>
  <c r="L2" i="5"/>
  <c r="L88" i="5"/>
  <c r="L166" i="5"/>
  <c r="M40" i="5"/>
  <c r="L87" i="5"/>
  <c r="M157" i="5"/>
  <c r="M143" i="5"/>
  <c r="L40" i="5"/>
  <c r="L146" i="5"/>
  <c r="L86" i="5"/>
  <c r="L72" i="5"/>
  <c r="L108" i="5"/>
  <c r="L76" i="5"/>
  <c r="M54" i="5"/>
  <c r="L79" i="5"/>
  <c r="M29" i="5"/>
  <c r="L35" i="5"/>
  <c r="L6" i="5"/>
  <c r="L55" i="5"/>
  <c r="L73" i="5"/>
  <c r="M142" i="5"/>
  <c r="M105" i="5"/>
  <c r="L84" i="5"/>
  <c r="L80" i="5"/>
  <c r="M114" i="5"/>
  <c r="L26" i="5"/>
  <c r="L104" i="5"/>
  <c r="L148" i="5"/>
  <c r="L43" i="5"/>
  <c r="M133" i="5"/>
  <c r="M15" i="5"/>
  <c r="M166" i="5"/>
  <c r="M70" i="5"/>
  <c r="M16" i="5"/>
  <c r="M83" i="5"/>
  <c r="M13" i="5"/>
  <c r="L138" i="5"/>
  <c r="M165" i="5"/>
  <c r="L81" i="5"/>
  <c r="L122" i="5"/>
  <c r="L39" i="5"/>
  <c r="L17" i="5"/>
  <c r="M141" i="5"/>
  <c r="M156" i="5"/>
  <c r="M139" i="5"/>
  <c r="M19" i="5"/>
  <c r="L54" i="5"/>
  <c r="L85" i="5"/>
  <c r="M97" i="5"/>
  <c r="M90" i="5"/>
  <c r="L32" i="5"/>
  <c r="L51" i="5"/>
  <c r="L131" i="5"/>
  <c r="L119" i="5"/>
  <c r="M6" i="5"/>
  <c r="M91" i="5"/>
  <c r="M47" i="5"/>
  <c r="L36" i="5"/>
  <c r="L96" i="5"/>
  <c r="L140" i="5"/>
  <c r="M140" i="5"/>
  <c r="M132" i="5"/>
  <c r="M63" i="5"/>
  <c r="M50" i="5"/>
  <c r="M159" i="5"/>
  <c r="L167" i="5"/>
  <c r="L99" i="5"/>
  <c r="M162" i="5"/>
  <c r="L103" i="5"/>
  <c r="L37" i="5"/>
  <c r="L142" i="5"/>
  <c r="L165" i="5"/>
  <c r="L41" i="5"/>
  <c r="L68" i="5"/>
  <c r="M27" i="5"/>
  <c r="M25" i="5"/>
  <c r="M131" i="5"/>
  <c r="L147" i="5"/>
  <c r="L46" i="5"/>
  <c r="M92" i="5"/>
  <c r="M96" i="5"/>
  <c r="L164" i="5"/>
  <c r="M150" i="5"/>
  <c r="L101" i="5"/>
  <c r="M126" i="5"/>
  <c r="M138" i="5"/>
  <c r="L59" i="5"/>
  <c r="M129" i="5"/>
  <c r="M118" i="5"/>
  <c r="M22" i="5"/>
  <c r="M28" i="5"/>
  <c r="L12" i="5"/>
  <c r="M11" i="5"/>
  <c r="L120" i="5"/>
  <c r="M87" i="5"/>
  <c r="L16" i="5"/>
  <c r="L58" i="5"/>
  <c r="M94" i="5"/>
  <c r="M38" i="5"/>
  <c r="L123" i="5"/>
  <c r="L50" i="5"/>
  <c r="L52" i="5"/>
  <c r="L102" i="5"/>
  <c r="M103" i="5"/>
  <c r="L90" i="5"/>
  <c r="M43" i="5"/>
  <c r="M148" i="5"/>
  <c r="L31" i="5"/>
  <c r="L60" i="5"/>
  <c r="L150" i="5"/>
  <c r="L151" i="5"/>
  <c r="L130" i="5"/>
  <c r="M127" i="5"/>
  <c r="L56" i="5"/>
  <c r="M145" i="5"/>
  <c r="M153" i="5"/>
  <c r="L98" i="5"/>
  <c r="M167" i="5"/>
  <c r="L160" i="5"/>
  <c r="L121" i="5"/>
  <c r="M24" i="5"/>
  <c r="L110" i="5"/>
  <c r="L65" i="5"/>
  <c r="L124" i="5"/>
  <c r="M49" i="5"/>
  <c r="L7" i="5"/>
  <c r="L137" i="5"/>
  <c r="M120" i="5"/>
  <c r="M99" i="5"/>
  <c r="M4" i="5"/>
  <c r="M146" i="5"/>
  <c r="L109" i="5"/>
  <c r="M79" i="5"/>
  <c r="M71" i="5"/>
  <c r="M122" i="5"/>
  <c r="M144" i="5"/>
  <c r="L93" i="5"/>
  <c r="M42" i="5"/>
  <c r="M12" i="5"/>
  <c r="M75" i="5"/>
  <c r="M55" i="5"/>
  <c r="L163" i="5"/>
  <c r="M35" i="5"/>
  <c r="M102" i="5"/>
  <c r="M61" i="5"/>
  <c r="M20" i="5"/>
  <c r="L53" i="5"/>
  <c r="L71" i="5"/>
  <c r="M84" i="5"/>
  <c r="M51" i="5"/>
  <c r="L106" i="5"/>
  <c r="L14" i="5"/>
  <c r="L133" i="5"/>
  <c r="L105" i="5"/>
  <c r="L162" i="5"/>
  <c r="M123" i="5"/>
  <c r="L24" i="5"/>
  <c r="M93" i="5"/>
  <c r="M111" i="5"/>
  <c r="L42" i="5"/>
  <c r="M110" i="5"/>
  <c r="L10" i="5"/>
  <c r="L44" i="5"/>
  <c r="L145" i="5"/>
  <c r="M5" i="5"/>
  <c r="M89" i="5"/>
  <c r="L111" i="5"/>
  <c r="L63" i="5"/>
  <c r="L92" i="5"/>
  <c r="M3" i="5"/>
  <c r="M119" i="5"/>
  <c r="L143" i="5"/>
  <c r="M59" i="5"/>
  <c r="L107" i="5"/>
  <c r="M158" i="5"/>
  <c r="M34" i="5"/>
  <c r="M56" i="5"/>
  <c r="L116" i="5"/>
  <c r="M164" i="5"/>
  <c r="M30" i="5"/>
  <c r="L94" i="5"/>
  <c r="M136" i="5"/>
  <c r="L139" i="5"/>
  <c r="M149" i="5"/>
  <c r="M155" i="5"/>
  <c r="L113" i="5"/>
  <c r="M107" i="5"/>
  <c r="L25" i="5"/>
  <c r="M46" i="5"/>
  <c r="L135" i="5"/>
  <c r="M39" i="5"/>
  <c r="M57" i="5"/>
  <c r="L115" i="5"/>
  <c r="L117" i="5"/>
  <c r="M116" i="5"/>
  <c r="M76" i="5"/>
  <c r="M104" i="5"/>
  <c r="M45" i="5"/>
  <c r="M9" i="5"/>
  <c r="M37" i="5"/>
  <c r="L136" i="5"/>
  <c r="M31" i="5"/>
  <c r="M7" i="5"/>
  <c r="M58" i="5"/>
  <c r="M53" i="5"/>
  <c r="N120" i="1" l="1"/>
  <c r="F92" i="3" s="1"/>
  <c r="E8" i="4"/>
  <c r="D19" i="4"/>
  <c r="E32" i="4"/>
  <c r="D24" i="4"/>
  <c r="D7" i="4"/>
  <c r="E30" i="4"/>
  <c r="E10" i="4"/>
  <c r="E23" i="4"/>
  <c r="D23" i="4"/>
  <c r="D6" i="4"/>
  <c r="E27" i="4"/>
  <c r="E9" i="4"/>
  <c r="E21" i="4"/>
  <c r="E28" i="4"/>
  <c r="D20" i="4"/>
  <c r="E17" i="4"/>
  <c r="E2" i="4"/>
  <c r="E13" i="4"/>
  <c r="E26" i="4"/>
  <c r="E18" i="4"/>
  <c r="D4" i="4"/>
  <c r="D3" i="4"/>
  <c r="E14" i="4"/>
  <c r="E3" i="4"/>
  <c r="D31" i="4"/>
  <c r="D30" i="4"/>
  <c r="D13" i="4"/>
  <c r="D28" i="4"/>
  <c r="D11" i="4"/>
  <c r="E22" i="4"/>
  <c r="D21" i="4"/>
  <c r="E19" i="4"/>
  <c r="E4" i="4"/>
  <c r="D18" i="4"/>
  <c r="D17" i="4"/>
  <c r="E6" i="4"/>
  <c r="D32" i="4"/>
  <c r="D29" i="4"/>
  <c r="D12" i="4"/>
  <c r="E25" i="4"/>
  <c r="D27" i="4"/>
  <c r="D10" i="4"/>
  <c r="E20" i="4"/>
  <c r="E31" i="4"/>
  <c r="D22" i="4"/>
  <c r="D2" i="4"/>
  <c r="E12" i="4"/>
  <c r="D16" i="4"/>
  <c r="D26" i="4"/>
  <c r="D9" i="4"/>
  <c r="E7" i="4"/>
  <c r="E15" i="4"/>
  <c r="E29" i="4"/>
  <c r="D5" i="4"/>
  <c r="E16" i="4"/>
  <c r="D15" i="4"/>
  <c r="D14" i="4"/>
  <c r="D25" i="4"/>
  <c r="D8" i="4"/>
  <c r="E5" i="4"/>
  <c r="E11" i="4"/>
  <c r="E24" i="4"/>
</calcChain>
</file>

<file path=xl/sharedStrings.xml><?xml version="1.0" encoding="utf-8"?>
<sst xmlns="http://schemas.openxmlformats.org/spreadsheetml/2006/main" count="3003" uniqueCount="399">
  <si>
    <t>TICKET #</t>
  </si>
  <si>
    <t>NAME</t>
  </si>
  <si>
    <t>TELEFONE</t>
  </si>
  <si>
    <t>Faltam 124 nomes</t>
  </si>
  <si>
    <t>FERNANDO CUMPA</t>
  </si>
  <si>
    <t>ALBERT</t>
  </si>
  <si>
    <t>KAKA</t>
  </si>
  <si>
    <t>TULIO</t>
  </si>
  <si>
    <t>VAL</t>
  </si>
  <si>
    <t>ROGERIO PLUMBER</t>
  </si>
  <si>
    <t>ANDERSON JET</t>
  </si>
  <si>
    <t>FRANKLYN</t>
  </si>
  <si>
    <t>FRANKLY</t>
  </si>
  <si>
    <t>NETO</t>
  </si>
  <si>
    <t>RICARDO SANTOS</t>
  </si>
  <si>
    <t>SEANIE/JULIA</t>
  </si>
  <si>
    <t>GI</t>
  </si>
  <si>
    <t>Eduardo</t>
  </si>
  <si>
    <t>SERGIO</t>
  </si>
  <si>
    <t>GILSON</t>
  </si>
  <si>
    <t>SOLON pg</t>
  </si>
  <si>
    <t>BOY</t>
  </si>
  <si>
    <t>ALEXANDRE DA SILVA</t>
  </si>
  <si>
    <t>FERNANDO XARA</t>
  </si>
  <si>
    <t>WELVERTON</t>
  </si>
  <si>
    <t>PAULO HENRIQUE</t>
  </si>
  <si>
    <t>OSNI</t>
  </si>
  <si>
    <t>HENRY QUINTANA</t>
  </si>
  <si>
    <t>JAIRO</t>
  </si>
  <si>
    <t>Two (Allisson) pg</t>
  </si>
  <si>
    <t>BETO</t>
  </si>
  <si>
    <t>ROGERINHO</t>
  </si>
  <si>
    <t>MARTINS</t>
  </si>
  <si>
    <t>SANZIO</t>
  </si>
  <si>
    <t>MARCELAO</t>
  </si>
  <si>
    <t>SIMONE</t>
  </si>
  <si>
    <t>ALESSANDRO BARBOSA (LEO BAIA)</t>
  </si>
  <si>
    <t>IGOR</t>
  </si>
  <si>
    <t>CRISTIANO</t>
  </si>
  <si>
    <t>JESSICA pg</t>
  </si>
  <si>
    <t>JEREMIAS COSTA</t>
  </si>
  <si>
    <t>MARCIO CARVALHO</t>
  </si>
  <si>
    <t>RENE</t>
  </si>
  <si>
    <t>ALAN KARLA pg</t>
  </si>
  <si>
    <t>ARLON</t>
  </si>
  <si>
    <t>LUCIANO</t>
  </si>
  <si>
    <t>MIGUEL ARAUJO</t>
  </si>
  <si>
    <t>MAZIM amigo cidmar</t>
  </si>
  <si>
    <t>ALMIR COSTA</t>
  </si>
  <si>
    <t>BRYAN DA SILVA /vagner</t>
  </si>
  <si>
    <t>EDINEI ALVES amigo solon</t>
  </si>
  <si>
    <t>DALTON</t>
  </si>
  <si>
    <t>DANILO AMARAL</t>
  </si>
  <si>
    <t>CESAR BARROS</t>
  </si>
  <si>
    <t>HENRIQUE</t>
  </si>
  <si>
    <t>ANDERSON JEFERSON</t>
  </si>
  <si>
    <t>CIRIS FERREIRA</t>
  </si>
  <si>
    <t>FRANCISCO SOUZA</t>
  </si>
  <si>
    <t>ANDERSON</t>
  </si>
  <si>
    <t>Rodrigo / Polly pg</t>
  </si>
  <si>
    <t>LUIS SERGIO</t>
  </si>
  <si>
    <t>PITER SILVA</t>
  </si>
  <si>
    <t>DEUSMAR</t>
  </si>
  <si>
    <t>LEO OLEGARIO</t>
  </si>
  <si>
    <t>Carlos de Paula fre</t>
  </si>
  <si>
    <t>DANIEL</t>
  </si>
  <si>
    <t>ANDRE RAY</t>
  </si>
  <si>
    <t>Fabiano Alves</t>
  </si>
  <si>
    <t>CESAR</t>
  </si>
  <si>
    <t>JOAO V CARDOSO</t>
  </si>
  <si>
    <t>FE EM DEUS 2035439473</t>
  </si>
  <si>
    <t>BINHO</t>
  </si>
  <si>
    <t>CHARLLIE</t>
  </si>
  <si>
    <t>Albert</t>
  </si>
  <si>
    <t>GUILHERME NOGUEIRA</t>
  </si>
  <si>
    <t>DIEGO (MECANICO)</t>
  </si>
  <si>
    <t>DOUGLAS</t>
  </si>
  <si>
    <t>ROGERIO LOPES</t>
  </si>
  <si>
    <t>ADRIANO</t>
  </si>
  <si>
    <t>HARLEY</t>
  </si>
  <si>
    <t>MARCELO</t>
  </si>
  <si>
    <t>UEVERTON L FERREIRA</t>
  </si>
  <si>
    <t>RAFA JOAO pg</t>
  </si>
  <si>
    <t>MARCELO ELETRICISTA</t>
  </si>
  <si>
    <t>RENATO ANDRADE</t>
  </si>
  <si>
    <t>WIGNER LIMA</t>
  </si>
  <si>
    <t>IURI</t>
  </si>
  <si>
    <t>RONAN</t>
  </si>
  <si>
    <t>MARCOS VINICIUS pg</t>
  </si>
  <si>
    <t>RONIVON</t>
  </si>
  <si>
    <t>Jonata</t>
  </si>
  <si>
    <t>Vandao</t>
  </si>
  <si>
    <t>Lucas samorá</t>
  </si>
  <si>
    <t>Paulo</t>
  </si>
  <si>
    <t>Jonata vasque</t>
  </si>
  <si>
    <t>Gilmar Schmidt pg</t>
  </si>
  <si>
    <t>FABIANE</t>
  </si>
  <si>
    <t>JONH pg</t>
  </si>
  <si>
    <t>MARCELO ZANETTI</t>
  </si>
  <si>
    <t>MARIO</t>
  </si>
  <si>
    <t>HERNANE</t>
  </si>
  <si>
    <t>Felipe Pimentel</t>
  </si>
  <si>
    <t>BRYAN ARAUJO</t>
  </si>
  <si>
    <t>RODRIGO Gonçalves pg</t>
  </si>
  <si>
    <t>MARCOS SILVA</t>
  </si>
  <si>
    <t>MARCELO MORENO</t>
  </si>
  <si>
    <t>Fábio Albino</t>
  </si>
  <si>
    <t>L&amp;m wood floor pg</t>
  </si>
  <si>
    <t>Júlio César</t>
  </si>
  <si>
    <t>Gustavo Freitas pg</t>
  </si>
  <si>
    <t>GUILHER BORGES</t>
  </si>
  <si>
    <t>Felipe Pimentel freee</t>
  </si>
  <si>
    <t>WENDER pg</t>
  </si>
  <si>
    <t>Juliano Farias /gustavo</t>
  </si>
  <si>
    <t>CLAUDIO (DINHO )</t>
  </si>
  <si>
    <t>Leandro at lpslimo</t>
  </si>
  <si>
    <t>Afonso Eletrrcista pg</t>
  </si>
  <si>
    <t>Fernando Carvalho pg</t>
  </si>
  <si>
    <t>Eduardo tile</t>
  </si>
  <si>
    <t>CLAUDIO (DINHO0</t>
  </si>
  <si>
    <t>Carlos Serafim freeee</t>
  </si>
  <si>
    <t>KARLA</t>
  </si>
  <si>
    <t>Eduardo freee</t>
  </si>
  <si>
    <t>Fernando Carvalho freee</t>
  </si>
  <si>
    <t>Wellington Santana</t>
  </si>
  <si>
    <t>FABIO BORCA K</t>
  </si>
  <si>
    <t>Júnior faca</t>
  </si>
  <si>
    <t>Júnior faca freee</t>
  </si>
  <si>
    <t>Two (Allisson)pg</t>
  </si>
  <si>
    <t>Rodrigo /polly pg</t>
  </si>
  <si>
    <t>WAGNER DA SILVA</t>
  </si>
  <si>
    <t>Adalberto Martins</t>
  </si>
  <si>
    <t>ALAN COSTA</t>
  </si>
  <si>
    <t>Thiago / Dani pg</t>
  </si>
  <si>
    <t>SIMARA show car</t>
  </si>
  <si>
    <t>Bola de fogo pg</t>
  </si>
  <si>
    <t>SARMENTO</t>
  </si>
  <si>
    <t>DENILSON pg</t>
  </si>
  <si>
    <t>JEFERSON</t>
  </si>
  <si>
    <t>FRANCISCO MARCA</t>
  </si>
  <si>
    <t>JOSE CARLOS</t>
  </si>
  <si>
    <t>Iza pg</t>
  </si>
  <si>
    <t>WADSON FRANCO</t>
  </si>
  <si>
    <t>GIL ARAUJO</t>
  </si>
  <si>
    <t>TIA VERA</t>
  </si>
  <si>
    <t>Ricardo Souza</t>
  </si>
  <si>
    <t>FABIAN</t>
  </si>
  <si>
    <t>ERIQUE DE FIGUEREDO</t>
  </si>
  <si>
    <t>TIAGO ARAUJO</t>
  </si>
  <si>
    <t>Roger/GUI</t>
  </si>
  <si>
    <t>ZE CARLINHO /joao Batista</t>
  </si>
  <si>
    <t>ERICK M</t>
  </si>
  <si>
    <t>Danilex</t>
  </si>
  <si>
    <t>Carlos de Paula</t>
  </si>
  <si>
    <t>Danielzinho</t>
  </si>
  <si>
    <t>ALEXANDRE BATISTA</t>
  </si>
  <si>
    <t>DANILEX</t>
  </si>
  <si>
    <t>STEPHANIE /Eduardo</t>
  </si>
  <si>
    <t>CARLOS ROSA</t>
  </si>
  <si>
    <t>FELIX COSTA</t>
  </si>
  <si>
    <t>Gabby santos</t>
  </si>
  <si>
    <t>Fábio Albino freee</t>
  </si>
  <si>
    <t>RAFAEL IDEAL BRASIL</t>
  </si>
  <si>
    <t>Nilton</t>
  </si>
  <si>
    <t>Ramon bahia</t>
  </si>
  <si>
    <t>JOAO MELO</t>
  </si>
  <si>
    <t>Naya</t>
  </si>
  <si>
    <t>CARLOS SERAFIM</t>
  </si>
  <si>
    <t>PAPITO pg</t>
  </si>
  <si>
    <t>Dani Fonseca</t>
  </si>
  <si>
    <t>Ivan</t>
  </si>
  <si>
    <t>Ivo</t>
  </si>
  <si>
    <t>ROCHESTER pg</t>
  </si>
  <si>
    <t>ROSE</t>
  </si>
  <si>
    <t>Rogério Cardoso</t>
  </si>
  <si>
    <t>RONI pg</t>
  </si>
  <si>
    <t>Rafael Melo (Dalton)</t>
  </si>
  <si>
    <t>Karla Panela freeee</t>
  </si>
  <si>
    <t>Alan</t>
  </si>
  <si>
    <t>Iza free</t>
  </si>
  <si>
    <t>José tile</t>
  </si>
  <si>
    <t>Fabricio</t>
  </si>
  <si>
    <t>VALENTINA</t>
  </si>
  <si>
    <t>Marília / Fábio</t>
  </si>
  <si>
    <t>BOCAO</t>
  </si>
  <si>
    <t>Ana Laura Gregório (Marília)</t>
  </si>
  <si>
    <t>L&amp;M WOOD FLOOR pg</t>
  </si>
  <si>
    <t>Marília /fabio</t>
  </si>
  <si>
    <t>JOAO BATISTA</t>
  </si>
  <si>
    <t>Gilmar Schmidt freee</t>
  </si>
  <si>
    <t>Sônia da Deli (Salvador )</t>
  </si>
  <si>
    <t>Luís guevara</t>
  </si>
  <si>
    <t>C 2038640330</t>
  </si>
  <si>
    <t>Dudu cat freee</t>
  </si>
  <si>
    <t>CHICO</t>
  </si>
  <si>
    <t>JUNIOR GORDO</t>
  </si>
  <si>
    <t>L&amp;M wood floor free pg</t>
  </si>
  <si>
    <t>DIEGO MECANICO</t>
  </si>
  <si>
    <t>Bico</t>
  </si>
  <si>
    <t>JULIO</t>
  </si>
  <si>
    <t>Mário Paiva</t>
  </si>
  <si>
    <t>Marília/ Fábio</t>
  </si>
  <si>
    <t>Glauber</t>
  </si>
  <si>
    <t>ANDRESON POLICARPO</t>
  </si>
  <si>
    <t>NATALIA PIVA</t>
  </si>
  <si>
    <t>ROVILSON</t>
  </si>
  <si>
    <t>KEVIN CUMPA</t>
  </si>
  <si>
    <t>Ricardo de Souza</t>
  </si>
  <si>
    <t>Édilson Santos</t>
  </si>
  <si>
    <t>TATI CUMPA</t>
  </si>
  <si>
    <t>João / filho free</t>
  </si>
  <si>
    <t>Thiago / Jon</t>
  </si>
  <si>
    <t>Junior /Rodrigao pg</t>
  </si>
  <si>
    <t>Ataide Junior</t>
  </si>
  <si>
    <t>DEMI</t>
  </si>
  <si>
    <t>Cida dona ( Marília )</t>
  </si>
  <si>
    <t>FABIO BORA k</t>
  </si>
  <si>
    <t>CARLOS SERAFIM. Pg</t>
  </si>
  <si>
    <t>EDERALDO pg</t>
  </si>
  <si>
    <t>Monica Bento</t>
  </si>
  <si>
    <t>João da Deli</t>
  </si>
  <si>
    <t>PEDRO CARLOS</t>
  </si>
  <si>
    <t>Eduardo tile freee</t>
  </si>
  <si>
    <t>João/folho</t>
  </si>
  <si>
    <t>Wellington Santana free</t>
  </si>
  <si>
    <t>Carlos Serafim Pg</t>
  </si>
  <si>
    <t>DANIEL SILVA pg</t>
  </si>
  <si>
    <t>Berg</t>
  </si>
  <si>
    <t>Leandro at lpslimo free</t>
  </si>
  <si>
    <t>Daniel Silva pg</t>
  </si>
  <si>
    <t>BOLA de fogo free pg</t>
  </si>
  <si>
    <t>Leonardo Viana pg</t>
  </si>
  <si>
    <t>WEC</t>
  </si>
  <si>
    <t>DALNTON</t>
  </si>
  <si>
    <t>GV</t>
  </si>
  <si>
    <t>ALEX BARBOSA</t>
  </si>
  <si>
    <t>Romeis Camargo /talvez n 217</t>
  </si>
  <si>
    <t>Tuca tucano</t>
  </si>
  <si>
    <t>L&amp;M wood floor free</t>
  </si>
  <si>
    <t>Ronni pg</t>
  </si>
  <si>
    <t>Ronan (Empire home solution)pg</t>
  </si>
  <si>
    <t>Dudu cat</t>
  </si>
  <si>
    <t>GV Gabriel</t>
  </si>
  <si>
    <t>THIAGO NUNES</t>
  </si>
  <si>
    <t>KAIO</t>
  </si>
  <si>
    <t>Samuel</t>
  </si>
  <si>
    <t>SOFIA</t>
  </si>
  <si>
    <t>Marcelo Simão</t>
  </si>
  <si>
    <t>RENZO /Eduardo</t>
  </si>
  <si>
    <t>SAMANTA ROSA /gallardo</t>
  </si>
  <si>
    <t>CESINHA</t>
  </si>
  <si>
    <t>Karla panela</t>
  </si>
  <si>
    <t>Thiago /valesca</t>
  </si>
  <si>
    <t>Two (Allisson) f pg</t>
  </si>
  <si>
    <t>Neima Paulino</t>
  </si>
  <si>
    <t>FABRICIO SANTOS</t>
  </si>
  <si>
    <t>Juliano fritas / Gustavo</t>
  </si>
  <si>
    <t>Juca</t>
  </si>
  <si>
    <t>Carlos Serafim pg</t>
  </si>
  <si>
    <t>Leandro / Dione pg</t>
  </si>
  <si>
    <t>GEYRY ZUELITA /gallardo</t>
  </si>
  <si>
    <t>Karla</t>
  </si>
  <si>
    <t>ADILSON</t>
  </si>
  <si>
    <t>Marvin Rosa</t>
  </si>
  <si>
    <t>DAVID DA SILVA</t>
  </si>
  <si>
    <t>João /filho</t>
  </si>
  <si>
    <t>Karla Pamela</t>
  </si>
  <si>
    <t>SALVADOR</t>
  </si>
  <si>
    <t>Adalberto Martins free</t>
  </si>
  <si>
    <t>Thiago / Jon free</t>
  </si>
  <si>
    <t>Iza (amiga do juca) pg</t>
  </si>
  <si>
    <t>Gustavo freitas (free) pg</t>
  </si>
  <si>
    <t>Junior cabra bom pg</t>
  </si>
  <si>
    <t>Fábio Verizon</t>
  </si>
  <si>
    <t>FABIO PIVA</t>
  </si>
  <si>
    <t>We</t>
  </si>
  <si>
    <t>Ronan (Empire home solution) free</t>
  </si>
  <si>
    <t>L&amp;m wood floor free</t>
  </si>
  <si>
    <t>Júlio César freeee</t>
  </si>
  <si>
    <t>Rodrigo / Polly</t>
  </si>
  <si>
    <t>ok</t>
  </si>
  <si>
    <t>não loc</t>
  </si>
  <si>
    <t>em nome deCristiano</t>
  </si>
  <si>
    <t>em nome de Paulo rogerio</t>
  </si>
  <si>
    <t>em nome de Harley</t>
  </si>
  <si>
    <t xml:space="preserve">numero marcado pelo alexandre telefone 2039538965 </t>
  </si>
  <si>
    <t>telefone do Romeis Camargo</t>
  </si>
  <si>
    <t>Telefone do hernane em 9/10/25</t>
  </si>
  <si>
    <t>Telefone do Thiago</t>
  </si>
  <si>
    <t xml:space="preserve">nome de </t>
  </si>
  <si>
    <t>Funcionario Fernando cumpade</t>
  </si>
  <si>
    <t>Telefone do Luiz Souza</t>
  </si>
  <si>
    <t>Telefone de Salvador</t>
  </si>
  <si>
    <t>Em nome de Vitor Alex</t>
  </si>
  <si>
    <t>QTD DE NUMEROS</t>
  </si>
  <si>
    <t>NUMEROS ESCOLHIDOS</t>
  </si>
  <si>
    <t>NOMES ESCOLHIDOS</t>
  </si>
  <si>
    <t>QTD PAGOS</t>
  </si>
  <si>
    <t>url envio</t>
  </si>
  <si>
    <t>Fabiano Alves pg</t>
  </si>
  <si>
    <t>JOSE CARLOS pg</t>
  </si>
  <si>
    <t>DOUGLAS pg</t>
  </si>
  <si>
    <t>Alan pg</t>
  </si>
  <si>
    <t>FABIO BORCA K pg</t>
  </si>
  <si>
    <t>FABIO BORA k pg</t>
  </si>
  <si>
    <t>DALTON pg</t>
  </si>
  <si>
    <t>SIMARA show car pg</t>
  </si>
  <si>
    <t>ADILSON pg</t>
  </si>
  <si>
    <t>BOCAO pg</t>
  </si>
  <si>
    <t>SARMENTO pg</t>
  </si>
  <si>
    <t>RONAN pg</t>
  </si>
  <si>
    <t>Vandao pg</t>
  </si>
  <si>
    <t>Lucas samorá pg</t>
  </si>
  <si>
    <t>ok em nome de gordinho ederaldo</t>
  </si>
  <si>
    <t>EDERALDO</t>
  </si>
  <si>
    <t>HERNANE pg</t>
  </si>
  <si>
    <t>JAIRO pg</t>
  </si>
  <si>
    <t>MARCELO ZANETTI pg</t>
  </si>
  <si>
    <t>João/folho pg</t>
  </si>
  <si>
    <t>João /filho pg</t>
  </si>
  <si>
    <t>VAL pg</t>
  </si>
  <si>
    <t>ANDERSON JET pg</t>
  </si>
  <si>
    <t/>
  </si>
  <si>
    <t>GILSON pg</t>
  </si>
  <si>
    <t>TULIO pg</t>
  </si>
  <si>
    <t>BOLA de fogo free</t>
  </si>
  <si>
    <t>Gustavo freitas (free)</t>
  </si>
  <si>
    <t>Rodrigo / Polly freee</t>
  </si>
  <si>
    <t>Eduardo tile pg</t>
  </si>
  <si>
    <t>L&amp;M wood floor pg</t>
  </si>
  <si>
    <t>Roger/GUI pg</t>
  </si>
  <si>
    <t>CARLOS SERAFIM pg</t>
  </si>
  <si>
    <t>PEDRO CARLOS pg</t>
  </si>
  <si>
    <t>Juliano Farias /gustavo pg</t>
  </si>
  <si>
    <t>Marília /fabio pg</t>
  </si>
  <si>
    <t>Marília/ Fábio pg</t>
  </si>
  <si>
    <t>Ataide Junior pg</t>
  </si>
  <si>
    <t>UEVERTON L FERREIRA pg</t>
  </si>
  <si>
    <t>Nilton pg</t>
  </si>
  <si>
    <t>Ivo pg</t>
  </si>
  <si>
    <t>JOAO BATISTA pg</t>
  </si>
  <si>
    <t>Fábio Verizon pg</t>
  </si>
  <si>
    <t>GUILHER BORGES pg</t>
  </si>
  <si>
    <t>status</t>
  </si>
  <si>
    <t>x</t>
  </si>
  <si>
    <t>url</t>
  </si>
  <si>
    <t>Falta pagar</t>
  </si>
  <si>
    <t>DANIEL jet</t>
  </si>
  <si>
    <t>Daniel jet</t>
  </si>
  <si>
    <t>WADSON FRANCO pg</t>
  </si>
  <si>
    <t>DEMI pg</t>
  </si>
  <si>
    <t>RENZO /Eduardo pg</t>
  </si>
  <si>
    <t>STEPHANIE /Eduardo pg</t>
  </si>
  <si>
    <t>ALAN COSTA pg</t>
  </si>
  <si>
    <t>BOY pg</t>
  </si>
  <si>
    <t>ANDERSON POLICARPO pg</t>
  </si>
  <si>
    <t>RENE pg</t>
  </si>
  <si>
    <t>Paulo pg</t>
  </si>
  <si>
    <t>Tuca tucano pg</t>
  </si>
  <si>
    <t>LUCIANO Serjao pg</t>
  </si>
  <si>
    <t>ROGERINHO pg</t>
  </si>
  <si>
    <t>ARLON pg</t>
  </si>
  <si>
    <t>CESAR pg</t>
  </si>
  <si>
    <t>OSNI pg</t>
  </si>
  <si>
    <t>LEO OLEGARIO pg</t>
  </si>
  <si>
    <t>FABRICIO SANTOS (checar)</t>
  </si>
  <si>
    <t>ANDERSON POLICARPO (checar)</t>
  </si>
  <si>
    <t>ERIQUE DE FIGUEREDO pg</t>
  </si>
  <si>
    <t>CESINHA pg</t>
  </si>
  <si>
    <t>ALBERT pg</t>
  </si>
  <si>
    <t xml:space="preserve">Joe (Juca) Guimaraes </t>
  </si>
  <si>
    <t>Felipe Pimentel (f)</t>
  </si>
  <si>
    <t>Carlos Serafim (f)</t>
  </si>
  <si>
    <t>Fernando Carvalho (f)</t>
  </si>
  <si>
    <t>Júnior faca (f)</t>
  </si>
  <si>
    <t>Fábio Albino (f)</t>
  </si>
  <si>
    <t>Karla Panela (f)</t>
  </si>
  <si>
    <t>Iza (f)</t>
  </si>
  <si>
    <t>Marília / Fábio (f)</t>
  </si>
  <si>
    <t>Dudu cat (f)</t>
  </si>
  <si>
    <t>Gilmar Schmidt (f)</t>
  </si>
  <si>
    <t>João / filho (f)</t>
  </si>
  <si>
    <t>Wellington Santana (f)</t>
  </si>
  <si>
    <t>Eduardo tile (f)</t>
  </si>
  <si>
    <t>Leandro at lpslimo (f)</t>
  </si>
  <si>
    <t>BOLA de fogo (f)</t>
  </si>
  <si>
    <t>L&amp;M wood floor (f)</t>
  </si>
  <si>
    <t>Rodrigo / Polly (f)</t>
  </si>
  <si>
    <t>Two (Allisson) (f)</t>
  </si>
  <si>
    <t>Juliano fritas / Gustavo (f)</t>
  </si>
  <si>
    <t>Adalberto Martins (f)</t>
  </si>
  <si>
    <t>Thiago / Jon (f)</t>
  </si>
  <si>
    <t>Gustavo freitas (f)</t>
  </si>
  <si>
    <t>Ronan (Empire home solution) (f)</t>
  </si>
  <si>
    <t>L&amp;m wood floor (f)</t>
  </si>
  <si>
    <t>Júlio César (f)</t>
  </si>
  <si>
    <t>Carlos de Paula (f)</t>
  </si>
  <si>
    <t>**Caso tenha pago esses numeros, por gentileza enviar o comprovante para atualizar a lista.</t>
  </si>
  <si>
    <t>Já pagou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</si>
</sst>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R$&quot;\ #,##0;[Red]\-&quot;R$&quot;\ #,##0"/>
    <numFmt numFmtId="8" formatCode="&quot;R$&quot;\ #,##0.00;[Red]\-&quot;R$&quot;\ #,##0.00"/>
  </numFmts>
  <fonts count="4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1" fontId="0" fillId="2" borderId="1" xfId="0" applyNumberFormat="1" applyFill="1" applyBorder="1"/>
    <xf numFmtId="0" fontId="0" fillId="2" borderId="1" xfId="0" applyFill="1" applyBorder="1"/>
    <xf numFmtId="0" fontId="1" fillId="0" borderId="1" xfId="0" applyFont="1" applyBorder="1"/>
    <xf numFmtId="0" fontId="2" fillId="0" borderId="0" xfId="1"/>
    <xf numFmtId="0" fontId="0" fillId="0" borderId="0" xfId="0" quotePrefix="1"/>
    <xf numFmtId="0" fontId="3" fillId="0" borderId="0" xfId="0" applyFont="1"/>
    <xf numFmtId="1" fontId="3" fillId="0" borderId="0" xfId="0" applyNumberFormat="1" applyFont="1"/>
    <xf numFmtId="6" fontId="0" fillId="0" borderId="0" xfId="0" applyNumberFormat="1" applyAlignment="1">
      <alignment horizontal="left"/>
    </xf>
    <xf numFmtId="0" fontId="0" fillId="0" borderId="0" xfId="0" applyBorder="1"/>
    <xf numFmtId="8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51"/>
  <sheetViews>
    <sheetView tabSelected="1" topLeftCell="A484" zoomScale="110" zoomScaleNormal="110" workbookViewId="0">
      <selection sqref="A1:C501"/>
    </sheetView>
  </sheetViews>
  <sheetFormatPr defaultRowHeight="13.8"/>
  <cols>
    <col min="1" max="1" width="12.296875" bestFit="1" customWidth="1"/>
    <col min="2" max="2" width="29.69921875" bestFit="1" customWidth="1"/>
    <col min="3" max="3" width="14.19921875" style="1" bestFit="1" customWidth="1"/>
    <col min="5" max="5" width="11.69921875" bestFit="1" customWidth="1"/>
    <col min="6" max="6" width="15.09765625" bestFit="1" customWidth="1"/>
    <col min="7" max="7" width="15.3984375" customWidth="1"/>
    <col min="8" max="8" width="13" customWidth="1"/>
    <col min="9" max="9" width="14.19921875" style="1" bestFit="1" customWidth="1"/>
    <col min="10" max="10" width="18.09765625" bestFit="1" customWidth="1"/>
    <col min="11" max="11" width="15.8984375" customWidth="1"/>
    <col min="12" max="12" width="28" bestFit="1" customWidth="1"/>
    <col min="13" max="13" width="34.59765625" customWidth="1"/>
    <col min="16" max="22" width="2.796875" customWidth="1"/>
    <col min="23" max="33" width="8.8984375" customWidth="1"/>
    <col min="66" max="67" width="30" bestFit="1" customWidth="1"/>
    <col min="68" max="68" width="11.796875" bestFit="1" customWidth="1"/>
  </cols>
  <sheetData>
    <row r="1" spans="1:68" ht="14.4">
      <c r="A1" t="s">
        <v>0</v>
      </c>
      <c r="B1" t="s">
        <v>1</v>
      </c>
      <c r="C1" s="1" t="s">
        <v>2</v>
      </c>
      <c r="E1" s="13">
        <f>F1-SUM(G1:H1)</f>
        <v>31050</v>
      </c>
      <c r="F1" s="13">
        <f>500*90</f>
        <v>45000</v>
      </c>
      <c r="G1" s="11">
        <f>SUM(G2:G501)*90</f>
        <v>11610</v>
      </c>
      <c r="H1" s="11">
        <f>SUM(H2:H501)*90</f>
        <v>2340</v>
      </c>
      <c r="I1" s="2" t="s">
        <v>2</v>
      </c>
      <c r="J1" s="3" t="s">
        <v>294</v>
      </c>
      <c r="K1" s="3" t="s">
        <v>297</v>
      </c>
      <c r="L1" s="3" t="s">
        <v>295</v>
      </c>
      <c r="M1" s="3" t="s">
        <v>296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V1" t="s">
        <v>0</v>
      </c>
      <c r="AW1" t="s">
        <v>1</v>
      </c>
      <c r="BM1" t="s">
        <v>0</v>
      </c>
      <c r="BN1" t="s">
        <v>1</v>
      </c>
    </row>
    <row r="2" spans="1:68">
      <c r="A2">
        <v>1</v>
      </c>
      <c r="B2" t="s">
        <v>4</v>
      </c>
      <c r="C2" s="1">
        <v>2038209096</v>
      </c>
      <c r="D2" t="s">
        <v>280</v>
      </c>
      <c r="E2">
        <f>COUNTIF($C$1:C2,C2)</f>
        <v>1</v>
      </c>
      <c r="F2" t="str">
        <f t="shared" ref="F2:F65" si="0">C2&amp;E2</f>
        <v>20382090961</v>
      </c>
      <c r="G2">
        <f t="shared" ref="G2:G65" si="1">IF(IFERROR(FIND("pg",LOWER(B2)),0)=0,0,1)</f>
        <v>0</v>
      </c>
      <c r="H2">
        <f>IF(IFERROR(FIND("(f)",LOWER(B2)),0)=0,0,1)</f>
        <v>0</v>
      </c>
      <c r="I2" s="2">
        <v>2038209096</v>
      </c>
      <c r="J2" s="3">
        <f t="shared" ref="J2:J33" si="2">COUNTIF(C:C,I2)</f>
        <v>3</v>
      </c>
      <c r="K2" s="2">
        <f t="shared" ref="K2:K33" si="3">COUNTIFS(C:C,I2,G:G,1)+COUNTIFS(C:C,I2,H:H,1)</f>
        <v>0</v>
      </c>
      <c r="L2" s="3" t="str">
        <f>CONCATENATE(P2,Q2,R2,S2,T2,U2,V2,)</f>
        <v>1, 268, 318</v>
      </c>
      <c r="M2" s="3" t="str">
        <f>CONCATENATE(Z2,AA2,AB2,AC2,AD2,AE2,AF2)</f>
        <v>FERNANDO CUMPA ,VALENTINA ,KEVIN CUMPA</v>
      </c>
      <c r="N2">
        <f t="shared" ref="N2:N33" si="4">J2-K2</f>
        <v>3</v>
      </c>
      <c r="P2">
        <f t="shared" ref="P2:P33" si="5">IFERROR(INDEX($A$2:$A$501,MATCH($I2&amp;P$1,$F$2:$F$501,0)),"")</f>
        <v>1</v>
      </c>
      <c r="Q2" t="str">
        <f t="shared" ref="Q2:V11" si="6">IFERROR(", "&amp;INDEX($A$2:$A$501,MATCH($I2&amp;Q$1,$F$2:$F$501,0)),"")</f>
        <v>, 268</v>
      </c>
      <c r="R2" t="str">
        <f t="shared" si="6"/>
        <v>, 318</v>
      </c>
      <c r="S2" t="str">
        <f t="shared" si="6"/>
        <v/>
      </c>
      <c r="T2" t="str">
        <f t="shared" si="6"/>
        <v/>
      </c>
      <c r="U2" t="str">
        <f t="shared" si="6"/>
        <v/>
      </c>
      <c r="V2" t="str">
        <f t="shared" si="6"/>
        <v/>
      </c>
      <c r="Z2" t="str">
        <f t="shared" ref="Z2:Z33" si="7">IFERROR(INDEX($B$2:$B$501,MATCH($I2&amp;Z$1,$F$2:$F$501,0)),"")</f>
        <v>FERNANDO CUMPA</v>
      </c>
      <c r="AA2" t="str">
        <f t="shared" ref="AA2:AF11" si="8">IFERROR(" ,"&amp;INDEX($B$2:$B$501,MATCH($I2&amp;AA$1,$F$2:$F$501,0)),"")</f>
        <v xml:space="preserve"> ,VALENTINA</v>
      </c>
      <c r="AB2" t="str">
        <f t="shared" si="8"/>
        <v xml:space="preserve"> ,KEVIN CUMPA</v>
      </c>
      <c r="AC2" t="str">
        <f t="shared" si="8"/>
        <v/>
      </c>
      <c r="AD2" t="str">
        <f t="shared" si="8"/>
        <v/>
      </c>
      <c r="AE2" t="str">
        <f t="shared" si="8"/>
        <v/>
      </c>
      <c r="AF2" t="str">
        <f t="shared" si="8"/>
        <v/>
      </c>
      <c r="AV2">
        <v>1</v>
      </c>
      <c r="AW2" t="s">
        <v>4</v>
      </c>
      <c r="BM2">
        <v>1</v>
      </c>
      <c r="BN2" t="s">
        <v>4</v>
      </c>
      <c r="BO2" t="str">
        <f t="shared" ref="BO2:BO65" si="9">VLOOKUP(BM2,A:B,2,0)</f>
        <v>FERNANDO CUMPA</v>
      </c>
      <c r="BP2" t="b">
        <f t="shared" ref="BP2:BP33" si="10">BO2=BN2</f>
        <v>1</v>
      </c>
    </row>
    <row r="3" spans="1:68">
      <c r="A3">
        <v>2</v>
      </c>
      <c r="B3" t="s">
        <v>369</v>
      </c>
      <c r="C3" s="1">
        <v>6178402356</v>
      </c>
      <c r="D3" t="s">
        <v>280</v>
      </c>
      <c r="E3">
        <f>COUNTIF($C$1:C3,C3)</f>
        <v>1</v>
      </c>
      <c r="F3" t="str">
        <f t="shared" si="0"/>
        <v>61784023561</v>
      </c>
      <c r="G3">
        <f t="shared" si="1"/>
        <v>1</v>
      </c>
      <c r="H3">
        <f t="shared" ref="H3:H66" si="11">IF(IFERROR(FIND("(f)",LOWER(B3)),0)=0,0,1)</f>
        <v>0</v>
      </c>
      <c r="I3" s="4">
        <v>6178402356</v>
      </c>
      <c r="J3" s="5">
        <f t="shared" si="2"/>
        <v>1</v>
      </c>
      <c r="K3" s="5">
        <f t="shared" si="3"/>
        <v>1</v>
      </c>
      <c r="L3" s="5" t="str">
        <f t="shared" ref="L3:L66" si="12">CONCATENATE(P3,Q3,R3,S3,T3,U3,V3,)</f>
        <v>2</v>
      </c>
      <c r="M3" s="5" t="str">
        <f t="shared" ref="M3:M66" si="13">CONCATENATE(Z3,AA3,AB3,AC3,AD3,AE3,AF3)</f>
        <v>ALBERT pg</v>
      </c>
      <c r="N3">
        <f t="shared" si="4"/>
        <v>0</v>
      </c>
      <c r="P3">
        <f t="shared" si="5"/>
        <v>2</v>
      </c>
      <c r="Q3" t="str">
        <f t="shared" si="6"/>
        <v/>
      </c>
      <c r="R3" t="str">
        <f t="shared" si="6"/>
        <v/>
      </c>
      <c r="S3" t="str">
        <f t="shared" si="6"/>
        <v/>
      </c>
      <c r="T3" t="str">
        <f t="shared" si="6"/>
        <v/>
      </c>
      <c r="U3" t="str">
        <f t="shared" si="6"/>
        <v/>
      </c>
      <c r="V3" t="str">
        <f t="shared" si="6"/>
        <v/>
      </c>
      <c r="Z3" t="str">
        <f t="shared" si="7"/>
        <v>ALBERT pg</v>
      </c>
      <c r="AA3" t="str">
        <f t="shared" si="8"/>
        <v/>
      </c>
      <c r="AB3" t="str">
        <f t="shared" si="8"/>
        <v/>
      </c>
      <c r="AC3" t="str">
        <f t="shared" si="8"/>
        <v/>
      </c>
      <c r="AD3" t="str">
        <f t="shared" si="8"/>
        <v/>
      </c>
      <c r="AE3" t="str">
        <f t="shared" si="8"/>
        <v/>
      </c>
      <c r="AF3" t="str">
        <f t="shared" si="8"/>
        <v/>
      </c>
      <c r="AV3">
        <v>2</v>
      </c>
      <c r="AW3" t="s">
        <v>5</v>
      </c>
      <c r="BM3">
        <v>2</v>
      </c>
      <c r="BN3" t="s">
        <v>5</v>
      </c>
      <c r="BO3" t="str">
        <f t="shared" si="9"/>
        <v>ALBERT pg</v>
      </c>
      <c r="BP3" t="b">
        <f t="shared" si="10"/>
        <v>0</v>
      </c>
    </row>
    <row r="4" spans="1:68">
      <c r="A4">
        <v>3</v>
      </c>
      <c r="B4" t="s">
        <v>6</v>
      </c>
      <c r="C4" s="1">
        <v>2035452391</v>
      </c>
      <c r="D4" t="s">
        <v>280</v>
      </c>
      <c r="E4">
        <f>COUNTIF($C$1:C4,C4)</f>
        <v>1</v>
      </c>
      <c r="F4" t="str">
        <f t="shared" si="0"/>
        <v>20354523911</v>
      </c>
      <c r="G4">
        <f t="shared" si="1"/>
        <v>0</v>
      </c>
      <c r="H4">
        <f t="shared" si="11"/>
        <v>0</v>
      </c>
      <c r="I4" s="2">
        <v>2035452391</v>
      </c>
      <c r="J4" s="3">
        <f t="shared" si="2"/>
        <v>2</v>
      </c>
      <c r="K4" s="3">
        <f t="shared" si="3"/>
        <v>0</v>
      </c>
      <c r="L4" s="3" t="str">
        <f t="shared" si="12"/>
        <v>3, 9</v>
      </c>
      <c r="M4" s="3" t="str">
        <f t="shared" si="13"/>
        <v>KAKA ,KAKA</v>
      </c>
      <c r="N4">
        <f t="shared" si="4"/>
        <v>2</v>
      </c>
      <c r="P4">
        <f t="shared" si="5"/>
        <v>3</v>
      </c>
      <c r="Q4" t="str">
        <f t="shared" si="6"/>
        <v>, 9</v>
      </c>
      <c r="R4" t="str">
        <f t="shared" si="6"/>
        <v/>
      </c>
      <c r="S4" t="str">
        <f t="shared" si="6"/>
        <v/>
      </c>
      <c r="T4" t="str">
        <f t="shared" si="6"/>
        <v/>
      </c>
      <c r="U4" t="str">
        <f t="shared" si="6"/>
        <v/>
      </c>
      <c r="V4" t="str">
        <f t="shared" si="6"/>
        <v/>
      </c>
      <c r="Z4" t="str">
        <f t="shared" si="7"/>
        <v>KAKA</v>
      </c>
      <c r="AA4" t="str">
        <f t="shared" si="8"/>
        <v xml:space="preserve"> ,KAKA</v>
      </c>
      <c r="AB4" t="str">
        <f t="shared" si="8"/>
        <v/>
      </c>
      <c r="AC4" t="str">
        <f t="shared" si="8"/>
        <v/>
      </c>
      <c r="AD4" t="str">
        <f t="shared" si="8"/>
        <v/>
      </c>
      <c r="AE4" t="str">
        <f t="shared" si="8"/>
        <v/>
      </c>
      <c r="AF4" t="str">
        <f t="shared" si="8"/>
        <v/>
      </c>
      <c r="AV4">
        <v>3</v>
      </c>
      <c r="AW4" t="s">
        <v>6</v>
      </c>
      <c r="BM4">
        <v>3</v>
      </c>
      <c r="BN4" t="s">
        <v>6</v>
      </c>
      <c r="BO4" t="str">
        <f t="shared" si="9"/>
        <v>KAKA</v>
      </c>
      <c r="BP4" t="b">
        <f t="shared" si="10"/>
        <v>1</v>
      </c>
    </row>
    <row r="5" spans="1:68">
      <c r="A5">
        <v>4</v>
      </c>
      <c r="B5" t="s">
        <v>324</v>
      </c>
      <c r="C5" s="1">
        <v>9144337335</v>
      </c>
      <c r="D5" t="s">
        <v>280</v>
      </c>
      <c r="E5">
        <f>COUNTIF($C$1:C5,C5)</f>
        <v>1</v>
      </c>
      <c r="F5" t="str">
        <f t="shared" si="0"/>
        <v>91443373351</v>
      </c>
      <c r="G5">
        <f t="shared" si="1"/>
        <v>1</v>
      </c>
      <c r="H5">
        <f t="shared" si="11"/>
        <v>0</v>
      </c>
      <c r="I5" s="4">
        <v>9144337335</v>
      </c>
      <c r="J5" s="5">
        <f t="shared" si="2"/>
        <v>2</v>
      </c>
      <c r="K5" s="4">
        <f t="shared" si="3"/>
        <v>2</v>
      </c>
      <c r="L5" s="5" t="str">
        <f t="shared" si="12"/>
        <v>4, 25</v>
      </c>
      <c r="M5" s="5" t="str">
        <f t="shared" si="13"/>
        <v>TULIO pg ,TULIO pg</v>
      </c>
      <c r="N5">
        <f t="shared" si="4"/>
        <v>0</v>
      </c>
      <c r="P5">
        <f t="shared" si="5"/>
        <v>4</v>
      </c>
      <c r="Q5" t="str">
        <f t="shared" si="6"/>
        <v>, 25</v>
      </c>
      <c r="R5" t="str">
        <f t="shared" si="6"/>
        <v/>
      </c>
      <c r="S5" t="str">
        <f t="shared" si="6"/>
        <v/>
      </c>
      <c r="T5" t="str">
        <f t="shared" si="6"/>
        <v/>
      </c>
      <c r="U5" t="str">
        <f t="shared" si="6"/>
        <v/>
      </c>
      <c r="V5" t="str">
        <f t="shared" si="6"/>
        <v/>
      </c>
      <c r="Z5" t="str">
        <f t="shared" si="7"/>
        <v>TULIO pg</v>
      </c>
      <c r="AA5" t="str">
        <f t="shared" si="8"/>
        <v xml:space="preserve"> ,TULIO pg</v>
      </c>
      <c r="AB5" t="str">
        <f t="shared" si="8"/>
        <v/>
      </c>
      <c r="AC5" t="str">
        <f t="shared" si="8"/>
        <v/>
      </c>
      <c r="AD5" t="str">
        <f t="shared" si="8"/>
        <v/>
      </c>
      <c r="AE5" t="str">
        <f t="shared" si="8"/>
        <v/>
      </c>
      <c r="AF5" t="str">
        <f t="shared" si="8"/>
        <v/>
      </c>
      <c r="AV5">
        <v>4</v>
      </c>
      <c r="AW5" t="s">
        <v>7</v>
      </c>
      <c r="BM5">
        <v>4</v>
      </c>
      <c r="BN5" t="s">
        <v>324</v>
      </c>
      <c r="BO5" t="str">
        <f t="shared" si="9"/>
        <v>TULIO pg</v>
      </c>
      <c r="BP5" t="b">
        <f t="shared" si="10"/>
        <v>1</v>
      </c>
    </row>
    <row r="6" spans="1:68">
      <c r="A6">
        <v>5</v>
      </c>
      <c r="B6" t="s">
        <v>320</v>
      </c>
      <c r="C6" s="1">
        <v>9148828385</v>
      </c>
      <c r="D6" t="s">
        <v>280</v>
      </c>
      <c r="E6">
        <f>COUNTIF($C$1:C6,C6)</f>
        <v>1</v>
      </c>
      <c r="F6" t="str">
        <f t="shared" si="0"/>
        <v>91488283851</v>
      </c>
      <c r="G6">
        <f t="shared" si="1"/>
        <v>1</v>
      </c>
      <c r="H6">
        <f t="shared" si="11"/>
        <v>0</v>
      </c>
      <c r="I6" s="2">
        <v>9148828385</v>
      </c>
      <c r="J6" s="3">
        <f t="shared" si="2"/>
        <v>1</v>
      </c>
      <c r="K6" s="3">
        <f t="shared" si="3"/>
        <v>1</v>
      </c>
      <c r="L6" s="3" t="str">
        <f t="shared" si="12"/>
        <v>5</v>
      </c>
      <c r="M6" s="3" t="str">
        <f t="shared" si="13"/>
        <v>VAL pg</v>
      </c>
      <c r="N6">
        <f t="shared" si="4"/>
        <v>0</v>
      </c>
      <c r="P6">
        <f t="shared" si="5"/>
        <v>5</v>
      </c>
      <c r="Q6" t="str">
        <f t="shared" si="6"/>
        <v/>
      </c>
      <c r="R6" t="str">
        <f t="shared" si="6"/>
        <v/>
      </c>
      <c r="S6" t="str">
        <f t="shared" si="6"/>
        <v/>
      </c>
      <c r="T6" t="str">
        <f t="shared" si="6"/>
        <v/>
      </c>
      <c r="U6" t="str">
        <f t="shared" si="6"/>
        <v/>
      </c>
      <c r="V6" t="str">
        <f t="shared" si="6"/>
        <v/>
      </c>
      <c r="Z6" t="str">
        <f t="shared" si="7"/>
        <v>VAL pg</v>
      </c>
      <c r="AA6" t="str">
        <f t="shared" si="8"/>
        <v/>
      </c>
      <c r="AB6" t="str">
        <f t="shared" si="8"/>
        <v/>
      </c>
      <c r="AC6" t="str">
        <f t="shared" si="8"/>
        <v/>
      </c>
      <c r="AD6" t="str">
        <f t="shared" si="8"/>
        <v/>
      </c>
      <c r="AE6" t="str">
        <f t="shared" si="8"/>
        <v/>
      </c>
      <c r="AF6" t="str">
        <f t="shared" si="8"/>
        <v/>
      </c>
      <c r="AV6">
        <v>5</v>
      </c>
      <c r="AW6" t="s">
        <v>8</v>
      </c>
      <c r="BM6">
        <v>5</v>
      </c>
      <c r="BN6" t="s">
        <v>320</v>
      </c>
      <c r="BO6" t="str">
        <f t="shared" si="9"/>
        <v>VAL pg</v>
      </c>
      <c r="BP6" t="b">
        <f t="shared" si="10"/>
        <v>1</v>
      </c>
    </row>
    <row r="7" spans="1:68">
      <c r="A7">
        <v>6</v>
      </c>
      <c r="B7" t="s">
        <v>9</v>
      </c>
      <c r="C7" s="1">
        <v>9148376239</v>
      </c>
      <c r="D7" t="s">
        <v>280</v>
      </c>
      <c r="E7">
        <f>COUNTIF($C$1:C7,C7)</f>
        <v>1</v>
      </c>
      <c r="F7" t="str">
        <f t="shared" si="0"/>
        <v>91483762391</v>
      </c>
      <c r="G7">
        <f t="shared" si="1"/>
        <v>0</v>
      </c>
      <c r="H7">
        <f t="shared" si="11"/>
        <v>0</v>
      </c>
      <c r="I7" s="4">
        <v>9148376239</v>
      </c>
      <c r="J7" s="5">
        <f t="shared" si="2"/>
        <v>2</v>
      </c>
      <c r="K7" s="5">
        <f t="shared" si="3"/>
        <v>0</v>
      </c>
      <c r="L7" s="5" t="str">
        <f t="shared" si="12"/>
        <v>6, 67</v>
      </c>
      <c r="M7" s="5" t="str">
        <f t="shared" si="13"/>
        <v>ROGERIO PLUMBER ,ROGERIO PLUMBER</v>
      </c>
      <c r="N7">
        <f t="shared" si="4"/>
        <v>2</v>
      </c>
      <c r="P7">
        <f t="shared" si="5"/>
        <v>6</v>
      </c>
      <c r="Q7" t="str">
        <f t="shared" si="6"/>
        <v>, 67</v>
      </c>
      <c r="R7" t="str">
        <f t="shared" si="6"/>
        <v/>
      </c>
      <c r="S7" t="str">
        <f t="shared" si="6"/>
        <v/>
      </c>
      <c r="T7" t="str">
        <f t="shared" si="6"/>
        <v/>
      </c>
      <c r="U7" t="str">
        <f t="shared" si="6"/>
        <v/>
      </c>
      <c r="V7" t="str">
        <f t="shared" si="6"/>
        <v/>
      </c>
      <c r="Z7" t="str">
        <f t="shared" si="7"/>
        <v>ROGERIO PLUMBER</v>
      </c>
      <c r="AA7" t="str">
        <f t="shared" si="8"/>
        <v xml:space="preserve"> ,ROGERIO PLUMBER</v>
      </c>
      <c r="AB7" t="str">
        <f t="shared" si="8"/>
        <v/>
      </c>
      <c r="AC7" t="str">
        <f t="shared" si="8"/>
        <v/>
      </c>
      <c r="AD7" t="str">
        <f t="shared" si="8"/>
        <v/>
      </c>
      <c r="AE7" t="str">
        <f t="shared" si="8"/>
        <v/>
      </c>
      <c r="AF7" t="str">
        <f t="shared" si="8"/>
        <v/>
      </c>
      <c r="AV7">
        <v>6</v>
      </c>
      <c r="AW7" t="s">
        <v>9</v>
      </c>
      <c r="BM7">
        <v>6</v>
      </c>
      <c r="BN7" t="s">
        <v>9</v>
      </c>
      <c r="BO7" t="str">
        <f t="shared" si="9"/>
        <v>ROGERIO PLUMBER</v>
      </c>
      <c r="BP7" t="b">
        <f t="shared" si="10"/>
        <v>1</v>
      </c>
    </row>
    <row r="8" spans="1:68">
      <c r="A8">
        <v>7</v>
      </c>
      <c r="B8" t="s">
        <v>321</v>
      </c>
      <c r="C8" s="1">
        <v>9142276261</v>
      </c>
      <c r="D8" t="s">
        <v>280</v>
      </c>
      <c r="E8">
        <f>COUNTIF($C$1:C8,C8)</f>
        <v>1</v>
      </c>
      <c r="F8" t="str">
        <f t="shared" si="0"/>
        <v>91422762611</v>
      </c>
      <c r="G8">
        <f t="shared" si="1"/>
        <v>1</v>
      </c>
      <c r="H8">
        <f t="shared" si="11"/>
        <v>0</v>
      </c>
      <c r="I8" s="2">
        <v>9142276261</v>
      </c>
      <c r="J8" s="3">
        <f t="shared" si="2"/>
        <v>1</v>
      </c>
      <c r="K8" s="3">
        <f t="shared" si="3"/>
        <v>1</v>
      </c>
      <c r="L8" s="3" t="str">
        <f t="shared" si="12"/>
        <v>7</v>
      </c>
      <c r="M8" s="3" t="str">
        <f t="shared" si="13"/>
        <v>ANDERSON JET pg</v>
      </c>
      <c r="N8">
        <f t="shared" si="4"/>
        <v>0</v>
      </c>
      <c r="P8">
        <f t="shared" si="5"/>
        <v>7</v>
      </c>
      <c r="Q8" t="str">
        <f t="shared" si="6"/>
        <v/>
      </c>
      <c r="R8" t="str">
        <f t="shared" si="6"/>
        <v/>
      </c>
      <c r="S8" t="str">
        <f t="shared" si="6"/>
        <v/>
      </c>
      <c r="T8" t="str">
        <f t="shared" si="6"/>
        <v/>
      </c>
      <c r="U8" t="str">
        <f t="shared" si="6"/>
        <v/>
      </c>
      <c r="V8" t="str">
        <f t="shared" si="6"/>
        <v/>
      </c>
      <c r="Z8" t="str">
        <f t="shared" si="7"/>
        <v>ANDERSON JET pg</v>
      </c>
      <c r="AA8" t="str">
        <f t="shared" si="8"/>
        <v/>
      </c>
      <c r="AB8" t="str">
        <f t="shared" si="8"/>
        <v/>
      </c>
      <c r="AC8" t="str">
        <f t="shared" si="8"/>
        <v/>
      </c>
      <c r="AD8" t="str">
        <f t="shared" si="8"/>
        <v/>
      </c>
      <c r="AE8" t="str">
        <f t="shared" si="8"/>
        <v/>
      </c>
      <c r="AF8" t="str">
        <f t="shared" si="8"/>
        <v/>
      </c>
      <c r="AV8">
        <v>7</v>
      </c>
      <c r="AW8" t="s">
        <v>10</v>
      </c>
      <c r="BM8">
        <v>7</v>
      </c>
      <c r="BN8" t="s">
        <v>321</v>
      </c>
      <c r="BO8" t="str">
        <f t="shared" si="9"/>
        <v>ANDERSON JET pg</v>
      </c>
      <c r="BP8" t="b">
        <f t="shared" si="10"/>
        <v>1</v>
      </c>
    </row>
    <row r="9" spans="1:68">
      <c r="A9">
        <v>8</v>
      </c>
      <c r="B9" t="s">
        <v>11</v>
      </c>
      <c r="C9" s="1">
        <v>2039817839</v>
      </c>
      <c r="D9" t="s">
        <v>280</v>
      </c>
      <c r="E9">
        <f>COUNTIF($C$1:C9,C9)</f>
        <v>1</v>
      </c>
      <c r="F9" t="str">
        <f t="shared" si="0"/>
        <v>20398178391</v>
      </c>
      <c r="G9">
        <f t="shared" si="1"/>
        <v>0</v>
      </c>
      <c r="H9">
        <f t="shared" si="11"/>
        <v>0</v>
      </c>
      <c r="I9" s="4">
        <v>2039817839</v>
      </c>
      <c r="J9" s="5">
        <f t="shared" si="2"/>
        <v>6</v>
      </c>
      <c r="K9" s="5">
        <f t="shared" si="3"/>
        <v>0</v>
      </c>
      <c r="L9" s="5" t="str">
        <f t="shared" si="12"/>
        <v>8, 10, 15, 51, 72, 74</v>
      </c>
      <c r="M9" s="5" t="str">
        <f t="shared" si="13"/>
        <v>FRANKLYN ,FRANKLY ,FRANKLY ,FRANKLY ,FRANKLYN ,FRANKLY</v>
      </c>
      <c r="N9">
        <f t="shared" si="4"/>
        <v>6</v>
      </c>
      <c r="P9">
        <f t="shared" si="5"/>
        <v>8</v>
      </c>
      <c r="Q9" t="str">
        <f t="shared" si="6"/>
        <v>, 10</v>
      </c>
      <c r="R9" t="str">
        <f t="shared" si="6"/>
        <v>, 15</v>
      </c>
      <c r="S9" t="str">
        <f t="shared" si="6"/>
        <v>, 51</v>
      </c>
      <c r="T9" t="str">
        <f t="shared" si="6"/>
        <v>, 72</v>
      </c>
      <c r="U9" t="str">
        <f t="shared" si="6"/>
        <v>, 74</v>
      </c>
      <c r="V9" t="str">
        <f t="shared" si="6"/>
        <v/>
      </c>
      <c r="Z9" t="str">
        <f t="shared" si="7"/>
        <v>FRANKLYN</v>
      </c>
      <c r="AA9" t="str">
        <f t="shared" si="8"/>
        <v xml:space="preserve"> ,FRANKLY</v>
      </c>
      <c r="AB9" t="str">
        <f t="shared" si="8"/>
        <v xml:space="preserve"> ,FRANKLY</v>
      </c>
      <c r="AC9" t="str">
        <f t="shared" si="8"/>
        <v xml:space="preserve"> ,FRANKLY</v>
      </c>
      <c r="AD9" t="str">
        <f t="shared" si="8"/>
        <v xml:space="preserve"> ,FRANKLYN</v>
      </c>
      <c r="AE9" t="str">
        <f t="shared" si="8"/>
        <v xml:space="preserve"> ,FRANKLY</v>
      </c>
      <c r="AF9" t="str">
        <f t="shared" si="8"/>
        <v/>
      </c>
      <c r="AV9">
        <v>8</v>
      </c>
      <c r="AW9" t="s">
        <v>11</v>
      </c>
      <c r="BM9">
        <v>8</v>
      </c>
      <c r="BN9" t="s">
        <v>11</v>
      </c>
      <c r="BO9" t="str">
        <f t="shared" si="9"/>
        <v>FRANKLYN</v>
      </c>
      <c r="BP9" t="b">
        <f t="shared" si="10"/>
        <v>1</v>
      </c>
    </row>
    <row r="10" spans="1:68">
      <c r="A10">
        <v>9</v>
      </c>
      <c r="B10" t="s">
        <v>6</v>
      </c>
      <c r="C10" s="1">
        <v>2035452391</v>
      </c>
      <c r="D10" t="s">
        <v>280</v>
      </c>
      <c r="E10">
        <f>COUNTIF($C$1:C10,C10)</f>
        <v>2</v>
      </c>
      <c r="F10" t="str">
        <f t="shared" si="0"/>
        <v>20354523912</v>
      </c>
      <c r="G10">
        <f t="shared" si="1"/>
        <v>0</v>
      </c>
      <c r="H10">
        <f t="shared" si="11"/>
        <v>0</v>
      </c>
      <c r="I10" s="2">
        <v>9145620814</v>
      </c>
      <c r="J10" s="3">
        <f t="shared" si="2"/>
        <v>1</v>
      </c>
      <c r="K10" s="3">
        <f t="shared" si="3"/>
        <v>0</v>
      </c>
      <c r="L10" s="3" t="str">
        <f t="shared" si="12"/>
        <v>11</v>
      </c>
      <c r="M10" s="3" t="str">
        <f t="shared" si="13"/>
        <v>NETO</v>
      </c>
      <c r="N10">
        <f t="shared" si="4"/>
        <v>1</v>
      </c>
      <c r="P10">
        <f t="shared" si="5"/>
        <v>11</v>
      </c>
      <c r="Q10" t="str">
        <f t="shared" si="6"/>
        <v/>
      </c>
      <c r="R10" t="str">
        <f t="shared" si="6"/>
        <v/>
      </c>
      <c r="S10" t="str">
        <f t="shared" si="6"/>
        <v/>
      </c>
      <c r="T10" t="str">
        <f t="shared" si="6"/>
        <v/>
      </c>
      <c r="U10" t="str">
        <f t="shared" si="6"/>
        <v/>
      </c>
      <c r="V10" t="str">
        <f t="shared" si="6"/>
        <v/>
      </c>
      <c r="Z10" t="str">
        <f t="shared" si="7"/>
        <v>NETO</v>
      </c>
      <c r="AA10" t="str">
        <f t="shared" si="8"/>
        <v/>
      </c>
      <c r="AB10" t="str">
        <f t="shared" si="8"/>
        <v/>
      </c>
      <c r="AC10" t="str">
        <f t="shared" si="8"/>
        <v/>
      </c>
      <c r="AD10" t="str">
        <f t="shared" si="8"/>
        <v/>
      </c>
      <c r="AE10" t="str">
        <f t="shared" si="8"/>
        <v/>
      </c>
      <c r="AF10" t="str">
        <f t="shared" si="8"/>
        <v/>
      </c>
      <c r="AV10">
        <v>9</v>
      </c>
      <c r="AW10" t="s">
        <v>6</v>
      </c>
      <c r="BM10">
        <v>9</v>
      </c>
      <c r="BN10" t="s">
        <v>6</v>
      </c>
      <c r="BO10" t="str">
        <f t="shared" si="9"/>
        <v>KAKA</v>
      </c>
      <c r="BP10" t="b">
        <f t="shared" si="10"/>
        <v>1</v>
      </c>
    </row>
    <row r="11" spans="1:68">
      <c r="A11">
        <v>10</v>
      </c>
      <c r="B11" t="s">
        <v>12</v>
      </c>
      <c r="C11" s="1">
        <v>2039817839</v>
      </c>
      <c r="D11" t="s">
        <v>280</v>
      </c>
      <c r="E11">
        <f>COUNTIF($C$1:C11,C11)</f>
        <v>2</v>
      </c>
      <c r="F11" t="str">
        <f t="shared" si="0"/>
        <v>20398178392</v>
      </c>
      <c r="G11">
        <f t="shared" si="1"/>
        <v>0</v>
      </c>
      <c r="H11">
        <f t="shared" si="11"/>
        <v>0</v>
      </c>
      <c r="I11" s="4">
        <v>2037150399</v>
      </c>
      <c r="J11" s="5">
        <f t="shared" si="2"/>
        <v>2</v>
      </c>
      <c r="K11" s="5">
        <f t="shared" si="3"/>
        <v>0</v>
      </c>
      <c r="L11" s="5" t="str">
        <f t="shared" si="12"/>
        <v>12, 20</v>
      </c>
      <c r="M11" s="5" t="str">
        <f t="shared" si="13"/>
        <v>RICARDO SANTOS ,RICARDO SANTOS</v>
      </c>
      <c r="N11">
        <f t="shared" si="4"/>
        <v>2</v>
      </c>
      <c r="P11">
        <f t="shared" si="5"/>
        <v>12</v>
      </c>
      <c r="Q11" t="str">
        <f t="shared" si="6"/>
        <v>, 20</v>
      </c>
      <c r="R11" t="str">
        <f t="shared" si="6"/>
        <v/>
      </c>
      <c r="S11" t="str">
        <f t="shared" si="6"/>
        <v/>
      </c>
      <c r="T11" t="str">
        <f t="shared" si="6"/>
        <v/>
      </c>
      <c r="U11" t="str">
        <f t="shared" si="6"/>
        <v/>
      </c>
      <c r="V11" t="str">
        <f t="shared" si="6"/>
        <v/>
      </c>
      <c r="Z11" t="str">
        <f t="shared" si="7"/>
        <v>RICARDO SANTOS</v>
      </c>
      <c r="AA11" t="str">
        <f t="shared" si="8"/>
        <v xml:space="preserve"> ,RICARDO SANTOS</v>
      </c>
      <c r="AB11" t="str">
        <f t="shared" si="8"/>
        <v/>
      </c>
      <c r="AC11" t="str">
        <f t="shared" si="8"/>
        <v/>
      </c>
      <c r="AD11" t="str">
        <f t="shared" si="8"/>
        <v/>
      </c>
      <c r="AE11" t="str">
        <f t="shared" si="8"/>
        <v/>
      </c>
      <c r="AF11" t="str">
        <f t="shared" si="8"/>
        <v/>
      </c>
      <c r="AV11">
        <v>10</v>
      </c>
      <c r="AW11" t="s">
        <v>12</v>
      </c>
      <c r="BM11">
        <v>10</v>
      </c>
      <c r="BN11" t="s">
        <v>12</v>
      </c>
      <c r="BO11" t="str">
        <f t="shared" si="9"/>
        <v>FRANKLY</v>
      </c>
      <c r="BP11" t="b">
        <f t="shared" si="10"/>
        <v>1</v>
      </c>
    </row>
    <row r="12" spans="1:68">
      <c r="A12">
        <v>11</v>
      </c>
      <c r="B12" t="s">
        <v>13</v>
      </c>
      <c r="C12" s="1">
        <v>9145620814</v>
      </c>
      <c r="D12" t="s">
        <v>280</v>
      </c>
      <c r="E12">
        <f>COUNTIF($C$1:C12,C12)</f>
        <v>1</v>
      </c>
      <c r="F12" t="str">
        <f t="shared" si="0"/>
        <v>91456208141</v>
      </c>
      <c r="G12">
        <f t="shared" si="1"/>
        <v>0</v>
      </c>
      <c r="H12">
        <f t="shared" si="11"/>
        <v>0</v>
      </c>
      <c r="I12" s="2">
        <v>2039050226</v>
      </c>
      <c r="J12" s="3">
        <f t="shared" si="2"/>
        <v>1</v>
      </c>
      <c r="K12" s="3">
        <f t="shared" si="3"/>
        <v>0</v>
      </c>
      <c r="L12" s="3" t="str">
        <f t="shared" si="12"/>
        <v>13</v>
      </c>
      <c r="M12" s="3" t="str">
        <f t="shared" si="13"/>
        <v>SEANIE/JULIA</v>
      </c>
      <c r="N12">
        <f t="shared" si="4"/>
        <v>1</v>
      </c>
      <c r="P12">
        <f t="shared" si="5"/>
        <v>13</v>
      </c>
      <c r="Q12" t="str">
        <f t="shared" ref="Q12:V21" si="14">IFERROR(", "&amp;INDEX($A$2:$A$501,MATCH($I12&amp;Q$1,$F$2:$F$501,0)),"")</f>
        <v/>
      </c>
      <c r="R12" t="str">
        <f t="shared" si="14"/>
        <v/>
      </c>
      <c r="S12" t="str">
        <f t="shared" si="14"/>
        <v/>
      </c>
      <c r="T12" t="str">
        <f t="shared" si="14"/>
        <v/>
      </c>
      <c r="U12" t="str">
        <f t="shared" si="14"/>
        <v/>
      </c>
      <c r="V12" t="str">
        <f t="shared" si="14"/>
        <v/>
      </c>
      <c r="Z12" t="str">
        <f t="shared" si="7"/>
        <v>SEANIE/JULIA</v>
      </c>
      <c r="AA12" t="str">
        <f t="shared" ref="AA12:AF21" si="15">IFERROR(" ,"&amp;INDEX($B$2:$B$501,MATCH($I12&amp;AA$1,$F$2:$F$501,0)),"")</f>
        <v/>
      </c>
      <c r="AB12" t="str">
        <f t="shared" si="15"/>
        <v/>
      </c>
      <c r="AC12" t="str">
        <f t="shared" si="15"/>
        <v/>
      </c>
      <c r="AD12" t="str">
        <f t="shared" si="15"/>
        <v/>
      </c>
      <c r="AE12" t="str">
        <f t="shared" si="15"/>
        <v/>
      </c>
      <c r="AF12" t="str">
        <f t="shared" si="15"/>
        <v/>
      </c>
      <c r="AV12">
        <v>11</v>
      </c>
      <c r="AW12" t="s">
        <v>13</v>
      </c>
      <c r="BM12">
        <v>11</v>
      </c>
      <c r="BN12" t="s">
        <v>13</v>
      </c>
      <c r="BO12" t="str">
        <f t="shared" si="9"/>
        <v>NETO</v>
      </c>
      <c r="BP12" t="b">
        <f t="shared" si="10"/>
        <v>1</v>
      </c>
    </row>
    <row r="13" spans="1:68">
      <c r="A13">
        <v>12</v>
      </c>
      <c r="B13" t="s">
        <v>14</v>
      </c>
      <c r="C13" s="1">
        <v>2037150399</v>
      </c>
      <c r="D13" t="s">
        <v>280</v>
      </c>
      <c r="E13">
        <f>COUNTIF($C$1:C13,C13)</f>
        <v>1</v>
      </c>
      <c r="F13" t="str">
        <f t="shared" si="0"/>
        <v>20371503991</v>
      </c>
      <c r="G13">
        <f t="shared" si="1"/>
        <v>0</v>
      </c>
      <c r="H13">
        <f t="shared" si="11"/>
        <v>0</v>
      </c>
      <c r="I13" s="4">
        <v>2034244624</v>
      </c>
      <c r="J13" s="5">
        <f t="shared" si="2"/>
        <v>2</v>
      </c>
      <c r="K13" s="5">
        <f t="shared" si="3"/>
        <v>0</v>
      </c>
      <c r="L13" s="5" t="str">
        <f t="shared" si="12"/>
        <v>14, 17</v>
      </c>
      <c r="M13" s="5" t="str">
        <f t="shared" si="13"/>
        <v>GI ,GI</v>
      </c>
      <c r="N13">
        <f t="shared" si="4"/>
        <v>2</v>
      </c>
      <c r="P13">
        <f t="shared" si="5"/>
        <v>14</v>
      </c>
      <c r="Q13" t="str">
        <f t="shared" si="14"/>
        <v>, 17</v>
      </c>
      <c r="R13" t="str">
        <f t="shared" si="14"/>
        <v/>
      </c>
      <c r="S13" t="str">
        <f t="shared" si="14"/>
        <v/>
      </c>
      <c r="T13" t="str">
        <f t="shared" si="14"/>
        <v/>
      </c>
      <c r="U13" t="str">
        <f t="shared" si="14"/>
        <v/>
      </c>
      <c r="V13" t="str">
        <f t="shared" si="14"/>
        <v/>
      </c>
      <c r="Z13" t="str">
        <f t="shared" si="7"/>
        <v>GI</v>
      </c>
      <c r="AA13" t="str">
        <f t="shared" si="15"/>
        <v xml:space="preserve"> ,GI</v>
      </c>
      <c r="AB13" t="str">
        <f t="shared" si="15"/>
        <v/>
      </c>
      <c r="AC13" t="str">
        <f t="shared" si="15"/>
        <v/>
      </c>
      <c r="AD13" t="str">
        <f t="shared" si="15"/>
        <v/>
      </c>
      <c r="AE13" t="str">
        <f t="shared" si="15"/>
        <v/>
      </c>
      <c r="AF13" t="str">
        <f t="shared" si="15"/>
        <v/>
      </c>
      <c r="AV13">
        <v>12</v>
      </c>
      <c r="AW13" t="s">
        <v>14</v>
      </c>
      <c r="BM13">
        <v>12</v>
      </c>
      <c r="BN13" t="s">
        <v>14</v>
      </c>
      <c r="BO13" t="str">
        <f t="shared" si="9"/>
        <v>RICARDO SANTOS</v>
      </c>
      <c r="BP13" t="b">
        <f t="shared" si="10"/>
        <v>1</v>
      </c>
    </row>
    <row r="14" spans="1:68">
      <c r="A14">
        <v>13</v>
      </c>
      <c r="B14" t="s">
        <v>15</v>
      </c>
      <c r="C14" s="1">
        <v>2039050226</v>
      </c>
      <c r="D14" t="s">
        <v>280</v>
      </c>
      <c r="E14">
        <f>COUNTIF($C$1:C14,C14)</f>
        <v>1</v>
      </c>
      <c r="F14" t="str">
        <f t="shared" si="0"/>
        <v>20390502261</v>
      </c>
      <c r="G14">
        <f t="shared" si="1"/>
        <v>0</v>
      </c>
      <c r="H14">
        <f t="shared" si="11"/>
        <v>0</v>
      </c>
      <c r="I14" s="2">
        <v>2038580805</v>
      </c>
      <c r="J14" s="3">
        <f t="shared" si="2"/>
        <v>3</v>
      </c>
      <c r="K14" s="3">
        <f t="shared" si="3"/>
        <v>0</v>
      </c>
      <c r="L14" s="3" t="str">
        <f t="shared" si="12"/>
        <v>18, 23, 198</v>
      </c>
      <c r="M14" s="3" t="str">
        <f t="shared" si="13"/>
        <v>SERGIO ,SERGIO ,GIL ARAUJO</v>
      </c>
      <c r="N14">
        <f t="shared" si="4"/>
        <v>3</v>
      </c>
      <c r="P14">
        <f t="shared" si="5"/>
        <v>18</v>
      </c>
      <c r="Q14" t="str">
        <f t="shared" si="14"/>
        <v>, 23</v>
      </c>
      <c r="R14" t="str">
        <f t="shared" si="14"/>
        <v>, 198</v>
      </c>
      <c r="S14" t="str">
        <f t="shared" si="14"/>
        <v/>
      </c>
      <c r="T14" t="str">
        <f t="shared" si="14"/>
        <v/>
      </c>
      <c r="U14" t="str">
        <f t="shared" si="14"/>
        <v/>
      </c>
      <c r="V14" t="str">
        <f t="shared" si="14"/>
        <v/>
      </c>
      <c r="Z14" t="str">
        <f t="shared" si="7"/>
        <v>SERGIO</v>
      </c>
      <c r="AA14" t="str">
        <f t="shared" si="15"/>
        <v xml:space="preserve"> ,SERGIO</v>
      </c>
      <c r="AB14" t="str">
        <f t="shared" si="15"/>
        <v xml:space="preserve"> ,GIL ARAUJO</v>
      </c>
      <c r="AC14" t="str">
        <f t="shared" si="15"/>
        <v/>
      </c>
      <c r="AD14" t="str">
        <f t="shared" si="15"/>
        <v/>
      </c>
      <c r="AE14" t="str">
        <f t="shared" si="15"/>
        <v/>
      </c>
      <c r="AF14" t="str">
        <f t="shared" si="15"/>
        <v/>
      </c>
      <c r="AV14">
        <v>13</v>
      </c>
      <c r="AW14" t="s">
        <v>15</v>
      </c>
      <c r="BM14">
        <v>13</v>
      </c>
      <c r="BN14" t="s">
        <v>15</v>
      </c>
      <c r="BO14" t="str">
        <f t="shared" si="9"/>
        <v>SEANIE/JULIA</v>
      </c>
      <c r="BP14" t="b">
        <f t="shared" si="10"/>
        <v>1</v>
      </c>
    </row>
    <row r="15" spans="1:68">
      <c r="A15">
        <v>14</v>
      </c>
      <c r="B15" t="s">
        <v>16</v>
      </c>
      <c r="C15" s="1">
        <v>2034244624</v>
      </c>
      <c r="D15" t="s">
        <v>280</v>
      </c>
      <c r="E15">
        <f>COUNTIF($C$1:C15,C15)</f>
        <v>1</v>
      </c>
      <c r="F15" t="str">
        <f t="shared" si="0"/>
        <v>20342446241</v>
      </c>
      <c r="G15">
        <f t="shared" si="1"/>
        <v>0</v>
      </c>
      <c r="H15">
        <f t="shared" si="11"/>
        <v>0</v>
      </c>
      <c r="I15" s="4">
        <v>2032803585</v>
      </c>
      <c r="J15" s="5">
        <f t="shared" si="2"/>
        <v>2</v>
      </c>
      <c r="K15" s="5">
        <f t="shared" si="3"/>
        <v>2</v>
      </c>
      <c r="L15" s="5" t="str">
        <f t="shared" si="12"/>
        <v>19, 27</v>
      </c>
      <c r="M15" s="5" t="str">
        <f t="shared" si="13"/>
        <v>GILSON pg ,GILSON pg</v>
      </c>
      <c r="N15">
        <f t="shared" si="4"/>
        <v>0</v>
      </c>
      <c r="P15">
        <f t="shared" si="5"/>
        <v>19</v>
      </c>
      <c r="Q15" t="str">
        <f t="shared" si="14"/>
        <v>, 27</v>
      </c>
      <c r="R15" t="str">
        <f t="shared" si="14"/>
        <v/>
      </c>
      <c r="S15" t="str">
        <f t="shared" si="14"/>
        <v/>
      </c>
      <c r="T15" t="str">
        <f t="shared" si="14"/>
        <v/>
      </c>
      <c r="U15" t="str">
        <f t="shared" si="14"/>
        <v/>
      </c>
      <c r="V15" t="str">
        <f t="shared" si="14"/>
        <v/>
      </c>
      <c r="Z15" t="str">
        <f t="shared" si="7"/>
        <v>GILSON pg</v>
      </c>
      <c r="AA15" t="str">
        <f t="shared" si="15"/>
        <v xml:space="preserve"> ,GILSON pg</v>
      </c>
      <c r="AB15" t="str">
        <f t="shared" si="15"/>
        <v/>
      </c>
      <c r="AC15" t="str">
        <f t="shared" si="15"/>
        <v/>
      </c>
      <c r="AD15" t="str">
        <f t="shared" si="15"/>
        <v/>
      </c>
      <c r="AE15" t="str">
        <f t="shared" si="15"/>
        <v/>
      </c>
      <c r="AF15" t="str">
        <f t="shared" si="15"/>
        <v/>
      </c>
      <c r="AV15">
        <v>14</v>
      </c>
      <c r="AW15" t="s">
        <v>16</v>
      </c>
      <c r="BM15">
        <v>14</v>
      </c>
      <c r="BN15" t="s">
        <v>16</v>
      </c>
      <c r="BO15" t="str">
        <f t="shared" si="9"/>
        <v>GI</v>
      </c>
      <c r="BP15" t="b">
        <f t="shared" si="10"/>
        <v>1</v>
      </c>
    </row>
    <row r="16" spans="1:68">
      <c r="A16">
        <v>15</v>
      </c>
      <c r="B16" t="s">
        <v>12</v>
      </c>
      <c r="C16" s="1">
        <v>2039817839</v>
      </c>
      <c r="D16" t="s">
        <v>280</v>
      </c>
      <c r="E16">
        <f>COUNTIF($C$1:C16,C16)</f>
        <v>3</v>
      </c>
      <c r="F16" t="str">
        <f t="shared" si="0"/>
        <v>20398178393</v>
      </c>
      <c r="G16">
        <f t="shared" si="1"/>
        <v>0</v>
      </c>
      <c r="H16">
        <f t="shared" si="11"/>
        <v>0</v>
      </c>
      <c r="I16" s="2">
        <v>2033490246</v>
      </c>
      <c r="J16" s="3">
        <f t="shared" si="2"/>
        <v>5</v>
      </c>
      <c r="K16" s="3">
        <f t="shared" si="3"/>
        <v>4</v>
      </c>
      <c r="L16" s="3" t="str">
        <f t="shared" si="12"/>
        <v>21, 29, 62, 191, 500</v>
      </c>
      <c r="M16" s="3" t="str">
        <f t="shared" si="13"/>
        <v>SOLON pg ,SOLON pg ,EDINEI ALVES amigo solon ,SOLON pg ,SOLON pg</v>
      </c>
      <c r="N16">
        <f t="shared" si="4"/>
        <v>1</v>
      </c>
      <c r="P16">
        <f t="shared" si="5"/>
        <v>21</v>
      </c>
      <c r="Q16" t="str">
        <f t="shared" si="14"/>
        <v>, 29</v>
      </c>
      <c r="R16" t="str">
        <f t="shared" si="14"/>
        <v>, 62</v>
      </c>
      <c r="S16" t="str">
        <f t="shared" si="14"/>
        <v>, 191</v>
      </c>
      <c r="T16" t="str">
        <f t="shared" si="14"/>
        <v>, 500</v>
      </c>
      <c r="U16" t="str">
        <f t="shared" si="14"/>
        <v/>
      </c>
      <c r="V16" t="str">
        <f t="shared" si="14"/>
        <v/>
      </c>
      <c r="Z16" t="str">
        <f t="shared" si="7"/>
        <v>SOLON pg</v>
      </c>
      <c r="AA16" t="str">
        <f t="shared" si="15"/>
        <v xml:space="preserve"> ,SOLON pg</v>
      </c>
      <c r="AB16" t="str">
        <f t="shared" si="15"/>
        <v xml:space="preserve"> ,EDINEI ALVES amigo solon</v>
      </c>
      <c r="AC16" t="str">
        <f t="shared" si="15"/>
        <v xml:space="preserve"> ,SOLON pg</v>
      </c>
      <c r="AD16" t="str">
        <f t="shared" si="15"/>
        <v xml:space="preserve"> ,SOLON pg</v>
      </c>
      <c r="AE16" t="str">
        <f t="shared" si="15"/>
        <v/>
      </c>
      <c r="AF16" t="str">
        <f t="shared" si="15"/>
        <v/>
      </c>
      <c r="AV16">
        <v>15</v>
      </c>
      <c r="AW16" t="s">
        <v>12</v>
      </c>
      <c r="BM16">
        <v>15</v>
      </c>
      <c r="BN16" t="s">
        <v>12</v>
      </c>
      <c r="BO16" t="str">
        <f t="shared" si="9"/>
        <v>FRANKLY</v>
      </c>
      <c r="BP16" t="b">
        <f t="shared" si="10"/>
        <v>1</v>
      </c>
    </row>
    <row r="17" spans="1:68">
      <c r="A17">
        <v>16</v>
      </c>
      <c r="E17">
        <f>COUNTIF($C$1:C17,C17)</f>
        <v>0</v>
      </c>
      <c r="F17" t="str">
        <f t="shared" si="0"/>
        <v>0</v>
      </c>
      <c r="G17">
        <f t="shared" si="1"/>
        <v>0</v>
      </c>
      <c r="H17">
        <f t="shared" si="11"/>
        <v>0</v>
      </c>
      <c r="I17" s="4">
        <v>9144975684</v>
      </c>
      <c r="J17" s="5">
        <f t="shared" si="2"/>
        <v>2</v>
      </c>
      <c r="K17" s="5">
        <f t="shared" si="3"/>
        <v>2</v>
      </c>
      <c r="L17" s="5" t="str">
        <f t="shared" si="12"/>
        <v>22, 60</v>
      </c>
      <c r="M17" s="5" t="str">
        <f t="shared" si="13"/>
        <v>BOY pg ,BOY pg</v>
      </c>
      <c r="N17">
        <f t="shared" si="4"/>
        <v>0</v>
      </c>
      <c r="P17">
        <f t="shared" si="5"/>
        <v>22</v>
      </c>
      <c r="Q17" t="str">
        <f t="shared" si="14"/>
        <v>, 60</v>
      </c>
      <c r="R17" t="str">
        <f t="shared" si="14"/>
        <v/>
      </c>
      <c r="S17" t="str">
        <f t="shared" si="14"/>
        <v/>
      </c>
      <c r="T17" t="str">
        <f t="shared" si="14"/>
        <v/>
      </c>
      <c r="U17" t="str">
        <f t="shared" si="14"/>
        <v/>
      </c>
      <c r="V17" t="str">
        <f t="shared" si="14"/>
        <v/>
      </c>
      <c r="Z17" t="str">
        <f t="shared" si="7"/>
        <v>BOY pg</v>
      </c>
      <c r="AA17" t="str">
        <f t="shared" si="15"/>
        <v xml:space="preserve"> ,BOY pg</v>
      </c>
      <c r="AB17" t="str">
        <f t="shared" si="15"/>
        <v/>
      </c>
      <c r="AC17" t="str">
        <f t="shared" si="15"/>
        <v/>
      </c>
      <c r="AD17" t="str">
        <f t="shared" si="15"/>
        <v/>
      </c>
      <c r="AE17" t="str">
        <f t="shared" si="15"/>
        <v/>
      </c>
      <c r="AF17" t="str">
        <f t="shared" si="15"/>
        <v/>
      </c>
      <c r="AV17">
        <v>16</v>
      </c>
      <c r="BM17">
        <v>16</v>
      </c>
      <c r="BO17">
        <f t="shared" si="9"/>
        <v>0</v>
      </c>
      <c r="BP17" t="b">
        <f t="shared" si="10"/>
        <v>1</v>
      </c>
    </row>
    <row r="18" spans="1:68">
      <c r="A18">
        <v>17</v>
      </c>
      <c r="B18" t="s">
        <v>16</v>
      </c>
      <c r="C18" s="1">
        <v>2034244624</v>
      </c>
      <c r="D18" t="s">
        <v>280</v>
      </c>
      <c r="E18">
        <f>COUNTIF($C$1:C18,C18)</f>
        <v>2</v>
      </c>
      <c r="F18" t="str">
        <f t="shared" si="0"/>
        <v>20342446242</v>
      </c>
      <c r="G18">
        <f t="shared" si="1"/>
        <v>0</v>
      </c>
      <c r="H18">
        <f t="shared" si="11"/>
        <v>0</v>
      </c>
      <c r="I18" s="2">
        <v>2039538965</v>
      </c>
      <c r="J18" s="3">
        <f t="shared" si="2"/>
        <v>0</v>
      </c>
      <c r="K18" s="3">
        <f t="shared" si="3"/>
        <v>0</v>
      </c>
      <c r="L18" s="3" t="str">
        <f t="shared" si="12"/>
        <v/>
      </c>
      <c r="M18" s="3" t="str">
        <f t="shared" si="13"/>
        <v/>
      </c>
      <c r="N18">
        <f t="shared" si="4"/>
        <v>0</v>
      </c>
      <c r="P18" t="str">
        <f t="shared" si="5"/>
        <v/>
      </c>
      <c r="Q18" t="str">
        <f t="shared" si="14"/>
        <v/>
      </c>
      <c r="R18" t="str">
        <f t="shared" si="14"/>
        <v/>
      </c>
      <c r="S18" t="str">
        <f t="shared" si="14"/>
        <v/>
      </c>
      <c r="T18" t="str">
        <f t="shared" si="14"/>
        <v/>
      </c>
      <c r="U18" t="str">
        <f t="shared" si="14"/>
        <v/>
      </c>
      <c r="V18" t="str">
        <f t="shared" si="14"/>
        <v/>
      </c>
      <c r="Z18" t="str">
        <f t="shared" si="7"/>
        <v/>
      </c>
      <c r="AA18" t="str">
        <f t="shared" si="15"/>
        <v/>
      </c>
      <c r="AB18" t="str">
        <f t="shared" si="15"/>
        <v/>
      </c>
      <c r="AC18" t="str">
        <f t="shared" si="15"/>
        <v/>
      </c>
      <c r="AD18" t="str">
        <f t="shared" si="15"/>
        <v/>
      </c>
      <c r="AE18" t="str">
        <f t="shared" si="15"/>
        <v/>
      </c>
      <c r="AF18" t="str">
        <f t="shared" si="15"/>
        <v/>
      </c>
      <c r="AV18">
        <v>17</v>
      </c>
      <c r="AW18" t="s">
        <v>16</v>
      </c>
      <c r="BM18">
        <v>17</v>
      </c>
      <c r="BN18" t="s">
        <v>16</v>
      </c>
      <c r="BO18" t="str">
        <f t="shared" si="9"/>
        <v>GI</v>
      </c>
      <c r="BP18" t="b">
        <f t="shared" si="10"/>
        <v>1</v>
      </c>
    </row>
    <row r="19" spans="1:68">
      <c r="A19">
        <v>18</v>
      </c>
      <c r="B19" t="s">
        <v>18</v>
      </c>
      <c r="C19" s="1">
        <v>2038580805</v>
      </c>
      <c r="D19" t="s">
        <v>280</v>
      </c>
      <c r="E19">
        <f>COUNTIF($C$1:C19,C19)</f>
        <v>1</v>
      </c>
      <c r="F19" t="str">
        <f t="shared" si="0"/>
        <v>20385808051</v>
      </c>
      <c r="G19">
        <f t="shared" si="1"/>
        <v>0</v>
      </c>
      <c r="H19">
        <f t="shared" si="11"/>
        <v>0</v>
      </c>
      <c r="I19" s="4">
        <v>2039943998</v>
      </c>
      <c r="J19" s="5">
        <f t="shared" si="2"/>
        <v>4</v>
      </c>
      <c r="K19" s="5">
        <f t="shared" si="3"/>
        <v>0</v>
      </c>
      <c r="L19" s="5" t="str">
        <f t="shared" si="12"/>
        <v>26, 45, 171, 226</v>
      </c>
      <c r="M19" s="5" t="str">
        <f t="shared" si="13"/>
        <v>FERNANDO XARA ,FERNANDO XARA ,FERNANDO XARA ,FERNANDO XARA</v>
      </c>
      <c r="N19">
        <f t="shared" si="4"/>
        <v>4</v>
      </c>
      <c r="P19">
        <f t="shared" si="5"/>
        <v>26</v>
      </c>
      <c r="Q19" t="str">
        <f t="shared" si="14"/>
        <v>, 45</v>
      </c>
      <c r="R19" t="str">
        <f t="shared" si="14"/>
        <v>, 171</v>
      </c>
      <c r="S19" t="str">
        <f t="shared" si="14"/>
        <v>, 226</v>
      </c>
      <c r="T19" t="str">
        <f t="shared" si="14"/>
        <v/>
      </c>
      <c r="U19" t="str">
        <f t="shared" si="14"/>
        <v/>
      </c>
      <c r="V19" t="str">
        <f t="shared" si="14"/>
        <v/>
      </c>
      <c r="Z19" t="str">
        <f t="shared" si="7"/>
        <v>FERNANDO XARA</v>
      </c>
      <c r="AA19" t="str">
        <f t="shared" si="15"/>
        <v xml:space="preserve"> ,FERNANDO XARA</v>
      </c>
      <c r="AB19" t="str">
        <f t="shared" si="15"/>
        <v xml:space="preserve"> ,FERNANDO XARA</v>
      </c>
      <c r="AC19" t="str">
        <f t="shared" si="15"/>
        <v xml:space="preserve"> ,FERNANDO XARA</v>
      </c>
      <c r="AD19" t="str">
        <f t="shared" si="15"/>
        <v/>
      </c>
      <c r="AE19" t="str">
        <f t="shared" si="15"/>
        <v/>
      </c>
      <c r="AF19" t="str">
        <f t="shared" si="15"/>
        <v/>
      </c>
      <c r="AV19">
        <v>18</v>
      </c>
      <c r="AW19" t="s">
        <v>18</v>
      </c>
      <c r="BM19">
        <v>18</v>
      </c>
      <c r="BN19" t="s">
        <v>18</v>
      </c>
      <c r="BO19" t="str">
        <f t="shared" si="9"/>
        <v>SERGIO</v>
      </c>
      <c r="BP19" t="b">
        <f t="shared" si="10"/>
        <v>1</v>
      </c>
    </row>
    <row r="20" spans="1:68">
      <c r="A20">
        <v>19</v>
      </c>
      <c r="B20" t="s">
        <v>323</v>
      </c>
      <c r="C20" s="1">
        <v>2032803585</v>
      </c>
      <c r="D20" t="s">
        <v>280</v>
      </c>
      <c r="E20">
        <f>COUNTIF($C$1:C20,C20)</f>
        <v>1</v>
      </c>
      <c r="F20" t="str">
        <f t="shared" si="0"/>
        <v>20328035851</v>
      </c>
      <c r="G20">
        <f t="shared" si="1"/>
        <v>1</v>
      </c>
      <c r="H20">
        <f t="shared" si="11"/>
        <v>0</v>
      </c>
      <c r="I20" s="2">
        <v>5511997219288</v>
      </c>
      <c r="J20" s="3">
        <f t="shared" si="2"/>
        <v>1</v>
      </c>
      <c r="K20" s="3">
        <f t="shared" si="3"/>
        <v>0</v>
      </c>
      <c r="L20" s="3" t="str">
        <f t="shared" si="12"/>
        <v>30</v>
      </c>
      <c r="M20" s="3" t="str">
        <f t="shared" si="13"/>
        <v>PAULO HENRIQUE</v>
      </c>
      <c r="N20">
        <f t="shared" si="4"/>
        <v>1</v>
      </c>
      <c r="P20">
        <f t="shared" si="5"/>
        <v>30</v>
      </c>
      <c r="Q20" t="str">
        <f t="shared" si="14"/>
        <v/>
      </c>
      <c r="R20" t="str">
        <f t="shared" si="14"/>
        <v/>
      </c>
      <c r="S20" t="str">
        <f t="shared" si="14"/>
        <v/>
      </c>
      <c r="T20" t="str">
        <f t="shared" si="14"/>
        <v/>
      </c>
      <c r="U20" t="str">
        <f t="shared" si="14"/>
        <v/>
      </c>
      <c r="V20" t="str">
        <f t="shared" si="14"/>
        <v/>
      </c>
      <c r="Z20" t="str">
        <f t="shared" si="7"/>
        <v>PAULO HENRIQUE</v>
      </c>
      <c r="AA20" t="str">
        <f t="shared" si="15"/>
        <v/>
      </c>
      <c r="AB20" t="str">
        <f t="shared" si="15"/>
        <v/>
      </c>
      <c r="AC20" t="str">
        <f t="shared" si="15"/>
        <v/>
      </c>
      <c r="AD20" t="str">
        <f t="shared" si="15"/>
        <v/>
      </c>
      <c r="AE20" t="str">
        <f t="shared" si="15"/>
        <v/>
      </c>
      <c r="AF20" t="str">
        <f t="shared" si="15"/>
        <v/>
      </c>
      <c r="AV20">
        <v>19</v>
      </c>
      <c r="AW20" t="s">
        <v>19</v>
      </c>
      <c r="BM20">
        <v>19</v>
      </c>
      <c r="BN20" t="s">
        <v>323</v>
      </c>
      <c r="BO20" t="str">
        <f t="shared" si="9"/>
        <v>GILSON pg</v>
      </c>
      <c r="BP20" t="b">
        <f t="shared" si="10"/>
        <v>1</v>
      </c>
    </row>
    <row r="21" spans="1:68">
      <c r="A21">
        <v>20</v>
      </c>
      <c r="B21" t="s">
        <v>14</v>
      </c>
      <c r="C21" s="1">
        <v>2037150399</v>
      </c>
      <c r="D21" t="s">
        <v>280</v>
      </c>
      <c r="E21">
        <f>COUNTIF($C$1:C21,C21)</f>
        <v>2</v>
      </c>
      <c r="F21" t="str">
        <f t="shared" si="0"/>
        <v>20371503992</v>
      </c>
      <c r="G21">
        <f t="shared" si="1"/>
        <v>0</v>
      </c>
      <c r="H21">
        <f t="shared" si="11"/>
        <v>0</v>
      </c>
      <c r="I21" s="4">
        <v>2038731605</v>
      </c>
      <c r="J21" s="5">
        <f t="shared" si="2"/>
        <v>1</v>
      </c>
      <c r="K21" s="5">
        <f t="shared" si="3"/>
        <v>1</v>
      </c>
      <c r="L21" s="5" t="str">
        <f t="shared" si="12"/>
        <v>31</v>
      </c>
      <c r="M21" s="5" t="str">
        <f t="shared" si="13"/>
        <v>OSNI pg</v>
      </c>
      <c r="N21">
        <f t="shared" si="4"/>
        <v>0</v>
      </c>
      <c r="P21">
        <f t="shared" si="5"/>
        <v>31</v>
      </c>
      <c r="Q21" t="str">
        <f t="shared" si="14"/>
        <v/>
      </c>
      <c r="R21" t="str">
        <f t="shared" si="14"/>
        <v/>
      </c>
      <c r="S21" t="str">
        <f t="shared" si="14"/>
        <v/>
      </c>
      <c r="T21" t="str">
        <f t="shared" si="14"/>
        <v/>
      </c>
      <c r="U21" t="str">
        <f t="shared" si="14"/>
        <v/>
      </c>
      <c r="V21" t="str">
        <f t="shared" si="14"/>
        <v/>
      </c>
      <c r="Z21" t="str">
        <f t="shared" si="7"/>
        <v>OSNI pg</v>
      </c>
      <c r="AA21" t="str">
        <f t="shared" si="15"/>
        <v/>
      </c>
      <c r="AB21" t="str">
        <f t="shared" si="15"/>
        <v/>
      </c>
      <c r="AC21" t="str">
        <f t="shared" si="15"/>
        <v/>
      </c>
      <c r="AD21" t="str">
        <f t="shared" si="15"/>
        <v/>
      </c>
      <c r="AE21" t="str">
        <f t="shared" si="15"/>
        <v/>
      </c>
      <c r="AF21" t="str">
        <f t="shared" si="15"/>
        <v/>
      </c>
      <c r="AV21">
        <v>20</v>
      </c>
      <c r="AW21" t="s">
        <v>14</v>
      </c>
      <c r="BM21">
        <v>20</v>
      </c>
      <c r="BN21" t="s">
        <v>14</v>
      </c>
      <c r="BO21" t="str">
        <f t="shared" si="9"/>
        <v>RICARDO SANTOS</v>
      </c>
      <c r="BP21" t="b">
        <f t="shared" si="10"/>
        <v>1</v>
      </c>
    </row>
    <row r="22" spans="1:68">
      <c r="A22">
        <v>21</v>
      </c>
      <c r="B22" t="s">
        <v>20</v>
      </c>
      <c r="C22" s="1">
        <v>2033490246</v>
      </c>
      <c r="D22" t="s">
        <v>280</v>
      </c>
      <c r="E22">
        <f>COUNTIF($C$1:C22,C22)</f>
        <v>1</v>
      </c>
      <c r="F22" t="str">
        <f t="shared" si="0"/>
        <v>20334902461</v>
      </c>
      <c r="G22">
        <f t="shared" si="1"/>
        <v>1</v>
      </c>
      <c r="H22">
        <f t="shared" si="11"/>
        <v>0</v>
      </c>
      <c r="I22" s="2">
        <v>2035595696</v>
      </c>
      <c r="J22" s="3">
        <f t="shared" si="2"/>
        <v>1</v>
      </c>
      <c r="K22" s="3">
        <f t="shared" si="3"/>
        <v>1</v>
      </c>
      <c r="L22" s="3" t="str">
        <f t="shared" si="12"/>
        <v>33</v>
      </c>
      <c r="M22" s="3" t="str">
        <f t="shared" si="13"/>
        <v>JAIRO pg</v>
      </c>
      <c r="N22">
        <f t="shared" si="4"/>
        <v>0</v>
      </c>
      <c r="P22">
        <f t="shared" si="5"/>
        <v>33</v>
      </c>
      <c r="Q22" t="str">
        <f t="shared" ref="Q22:V31" si="16">IFERROR(", "&amp;INDEX($A$2:$A$501,MATCH($I22&amp;Q$1,$F$2:$F$501,0)),"")</f>
        <v/>
      </c>
      <c r="R22" t="str">
        <f t="shared" si="16"/>
        <v/>
      </c>
      <c r="S22" t="str">
        <f t="shared" si="16"/>
        <v/>
      </c>
      <c r="T22" t="str">
        <f t="shared" si="16"/>
        <v/>
      </c>
      <c r="U22" t="str">
        <f t="shared" si="16"/>
        <v/>
      </c>
      <c r="V22" t="str">
        <f t="shared" si="16"/>
        <v/>
      </c>
      <c r="Z22" t="str">
        <f t="shared" si="7"/>
        <v>JAIRO pg</v>
      </c>
      <c r="AA22" t="str">
        <f t="shared" ref="AA22:AF31" si="17">IFERROR(" ,"&amp;INDEX($B$2:$B$501,MATCH($I22&amp;AA$1,$F$2:$F$501,0)),"")</f>
        <v/>
      </c>
      <c r="AB22" t="str">
        <f t="shared" si="17"/>
        <v/>
      </c>
      <c r="AC22" t="str">
        <f t="shared" si="17"/>
        <v/>
      </c>
      <c r="AD22" t="str">
        <f t="shared" si="17"/>
        <v/>
      </c>
      <c r="AE22" t="str">
        <f t="shared" si="17"/>
        <v/>
      </c>
      <c r="AF22" t="str">
        <f t="shared" si="17"/>
        <v/>
      </c>
      <c r="AV22">
        <v>21</v>
      </c>
      <c r="AW22" t="s">
        <v>20</v>
      </c>
      <c r="BM22">
        <v>21</v>
      </c>
      <c r="BN22" t="s">
        <v>20</v>
      </c>
      <c r="BO22" t="str">
        <f t="shared" si="9"/>
        <v>SOLON pg</v>
      </c>
      <c r="BP22" t="b">
        <f t="shared" si="10"/>
        <v>1</v>
      </c>
    </row>
    <row r="23" spans="1:68">
      <c r="A23">
        <v>22</v>
      </c>
      <c r="B23" t="s">
        <v>354</v>
      </c>
      <c r="C23" s="1">
        <v>9144975684</v>
      </c>
      <c r="D23" t="s">
        <v>280</v>
      </c>
      <c r="E23">
        <f>COUNTIF($C$1:C23,C23)</f>
        <v>1</v>
      </c>
      <c r="F23" t="str">
        <f t="shared" si="0"/>
        <v>91449756841</v>
      </c>
      <c r="G23">
        <f t="shared" si="1"/>
        <v>1</v>
      </c>
      <c r="H23">
        <f t="shared" si="11"/>
        <v>0</v>
      </c>
      <c r="I23" s="4">
        <v>2039534887</v>
      </c>
      <c r="J23" s="5">
        <f t="shared" si="2"/>
        <v>3</v>
      </c>
      <c r="K23" s="5">
        <f t="shared" si="3"/>
        <v>3</v>
      </c>
      <c r="L23" s="5" t="str">
        <f t="shared" si="12"/>
        <v>34, 167, 423</v>
      </c>
      <c r="M23" s="5" t="str">
        <f t="shared" si="13"/>
        <v>Two (Allisson) pg ,Two (Allisson)pg ,Two (Allisson) (f)</v>
      </c>
      <c r="N23">
        <f t="shared" si="4"/>
        <v>0</v>
      </c>
      <c r="P23">
        <f t="shared" si="5"/>
        <v>34</v>
      </c>
      <c r="Q23" t="str">
        <f t="shared" si="16"/>
        <v>, 167</v>
      </c>
      <c r="R23" t="str">
        <f t="shared" si="16"/>
        <v>, 423</v>
      </c>
      <c r="S23" t="str">
        <f t="shared" si="16"/>
        <v/>
      </c>
      <c r="T23" t="str">
        <f t="shared" si="16"/>
        <v/>
      </c>
      <c r="U23" t="str">
        <f t="shared" si="16"/>
        <v/>
      </c>
      <c r="V23" t="str">
        <f t="shared" si="16"/>
        <v/>
      </c>
      <c r="Z23" t="str">
        <f t="shared" si="7"/>
        <v>Two (Allisson) pg</v>
      </c>
      <c r="AA23" t="str">
        <f t="shared" si="17"/>
        <v xml:space="preserve"> ,Two (Allisson)pg</v>
      </c>
      <c r="AB23" t="str">
        <f t="shared" si="17"/>
        <v xml:space="preserve"> ,Two (Allisson) (f)</v>
      </c>
      <c r="AC23" t="str">
        <f t="shared" si="17"/>
        <v/>
      </c>
      <c r="AD23" t="str">
        <f t="shared" si="17"/>
        <v/>
      </c>
      <c r="AE23" t="str">
        <f t="shared" si="17"/>
        <v/>
      </c>
      <c r="AF23" t="str">
        <f t="shared" si="17"/>
        <v/>
      </c>
      <c r="AV23">
        <v>22</v>
      </c>
      <c r="AW23" t="s">
        <v>21</v>
      </c>
      <c r="BM23">
        <v>22</v>
      </c>
      <c r="BN23" t="s">
        <v>21</v>
      </c>
      <c r="BO23" t="str">
        <f t="shared" si="9"/>
        <v>BOY pg</v>
      </c>
      <c r="BP23" t="b">
        <f t="shared" si="10"/>
        <v>0</v>
      </c>
    </row>
    <row r="24" spans="1:68">
      <c r="A24">
        <v>23</v>
      </c>
      <c r="B24" t="s">
        <v>18</v>
      </c>
      <c r="C24" s="1">
        <v>2038580805</v>
      </c>
      <c r="D24" t="s">
        <v>280</v>
      </c>
      <c r="E24">
        <f>COUNTIF($C$1:C24,C24)</f>
        <v>2</v>
      </c>
      <c r="F24" t="str">
        <f t="shared" si="0"/>
        <v>20385808052</v>
      </c>
      <c r="G24">
        <f t="shared" si="1"/>
        <v>0</v>
      </c>
      <c r="H24">
        <f t="shared" si="11"/>
        <v>0</v>
      </c>
      <c r="I24" s="2">
        <v>2032437348</v>
      </c>
      <c r="J24" s="3">
        <f t="shared" si="2"/>
        <v>1</v>
      </c>
      <c r="K24" s="3">
        <f t="shared" si="3"/>
        <v>0</v>
      </c>
      <c r="L24" s="3" t="str">
        <f t="shared" si="12"/>
        <v>35</v>
      </c>
      <c r="M24" s="3" t="str">
        <f t="shared" si="13"/>
        <v>BETO</v>
      </c>
      <c r="N24">
        <f t="shared" si="4"/>
        <v>1</v>
      </c>
      <c r="P24">
        <f t="shared" si="5"/>
        <v>35</v>
      </c>
      <c r="Q24" t="str">
        <f t="shared" si="16"/>
        <v/>
      </c>
      <c r="R24" t="str">
        <f t="shared" si="16"/>
        <v/>
      </c>
      <c r="S24" t="str">
        <f t="shared" si="16"/>
        <v/>
      </c>
      <c r="T24" t="str">
        <f t="shared" si="16"/>
        <v/>
      </c>
      <c r="U24" t="str">
        <f t="shared" si="16"/>
        <v/>
      </c>
      <c r="V24" t="str">
        <f t="shared" si="16"/>
        <v/>
      </c>
      <c r="Z24" t="str">
        <f t="shared" si="7"/>
        <v>BETO</v>
      </c>
      <c r="AA24" t="str">
        <f t="shared" si="17"/>
        <v/>
      </c>
      <c r="AB24" t="str">
        <f t="shared" si="17"/>
        <v/>
      </c>
      <c r="AC24" t="str">
        <f t="shared" si="17"/>
        <v/>
      </c>
      <c r="AD24" t="str">
        <f t="shared" si="17"/>
        <v/>
      </c>
      <c r="AE24" t="str">
        <f t="shared" si="17"/>
        <v/>
      </c>
      <c r="AF24" t="str">
        <f t="shared" si="17"/>
        <v/>
      </c>
      <c r="AV24">
        <v>23</v>
      </c>
      <c r="AW24" t="s">
        <v>18</v>
      </c>
      <c r="BM24">
        <v>23</v>
      </c>
      <c r="BN24" t="s">
        <v>18</v>
      </c>
      <c r="BO24" t="str">
        <f t="shared" si="9"/>
        <v>SERGIO</v>
      </c>
      <c r="BP24" t="b">
        <f t="shared" si="10"/>
        <v>1</v>
      </c>
    </row>
    <row r="25" spans="1:68">
      <c r="A25">
        <v>24</v>
      </c>
      <c r="E25">
        <f>COUNTIF($C$1:C25,C25)</f>
        <v>0</v>
      </c>
      <c r="F25" t="str">
        <f t="shared" si="0"/>
        <v>0</v>
      </c>
      <c r="G25">
        <f t="shared" si="1"/>
        <v>0</v>
      </c>
      <c r="H25">
        <f t="shared" si="11"/>
        <v>0</v>
      </c>
      <c r="I25" s="4">
        <v>2035158719</v>
      </c>
      <c r="J25" s="5">
        <f t="shared" si="2"/>
        <v>4</v>
      </c>
      <c r="K25" s="5">
        <f t="shared" si="3"/>
        <v>4</v>
      </c>
      <c r="L25" s="5" t="str">
        <f t="shared" si="12"/>
        <v>36, 54, 55, 88</v>
      </c>
      <c r="M25" s="5" t="str">
        <f t="shared" si="13"/>
        <v>ROGERINHO pg ,ROGERINHO pg ,ARLON pg ,CESAR pg</v>
      </c>
      <c r="N25">
        <f t="shared" si="4"/>
        <v>0</v>
      </c>
      <c r="P25">
        <f t="shared" si="5"/>
        <v>36</v>
      </c>
      <c r="Q25" t="str">
        <f t="shared" si="16"/>
        <v>, 54</v>
      </c>
      <c r="R25" t="str">
        <f t="shared" si="16"/>
        <v>, 55</v>
      </c>
      <c r="S25" t="str">
        <f t="shared" si="16"/>
        <v>, 88</v>
      </c>
      <c r="T25" t="str">
        <f t="shared" si="16"/>
        <v/>
      </c>
      <c r="U25" t="str">
        <f t="shared" si="16"/>
        <v/>
      </c>
      <c r="V25" t="str">
        <f t="shared" si="16"/>
        <v/>
      </c>
      <c r="Z25" t="str">
        <f t="shared" si="7"/>
        <v>ROGERINHO pg</v>
      </c>
      <c r="AA25" t="str">
        <f t="shared" si="17"/>
        <v xml:space="preserve"> ,ROGERINHO pg</v>
      </c>
      <c r="AB25" t="str">
        <f t="shared" si="17"/>
        <v xml:space="preserve"> ,ARLON pg</v>
      </c>
      <c r="AC25" t="str">
        <f t="shared" si="17"/>
        <v xml:space="preserve"> ,CESAR pg</v>
      </c>
      <c r="AD25" t="str">
        <f t="shared" si="17"/>
        <v/>
      </c>
      <c r="AE25" t="str">
        <f t="shared" si="17"/>
        <v/>
      </c>
      <c r="AF25" t="str">
        <f t="shared" si="17"/>
        <v/>
      </c>
      <c r="AV25">
        <v>24</v>
      </c>
      <c r="AW25" t="s">
        <v>22</v>
      </c>
      <c r="BM25">
        <v>24</v>
      </c>
      <c r="BN25" t="s">
        <v>22</v>
      </c>
      <c r="BO25">
        <f t="shared" si="9"/>
        <v>0</v>
      </c>
      <c r="BP25" t="b">
        <f t="shared" si="10"/>
        <v>0</v>
      </c>
    </row>
    <row r="26" spans="1:68">
      <c r="A26">
        <v>25</v>
      </c>
      <c r="B26" t="s">
        <v>324</v>
      </c>
      <c r="C26" s="1">
        <v>9144337335</v>
      </c>
      <c r="D26" t="s">
        <v>280</v>
      </c>
      <c r="E26">
        <f>COUNTIF($C$1:C26,C26)</f>
        <v>2</v>
      </c>
      <c r="F26" t="str">
        <f t="shared" si="0"/>
        <v>91443373352</v>
      </c>
      <c r="G26">
        <f t="shared" si="1"/>
        <v>1</v>
      </c>
      <c r="H26">
        <f t="shared" si="11"/>
        <v>0</v>
      </c>
      <c r="I26" s="2">
        <v>2039483635</v>
      </c>
      <c r="J26" s="3">
        <f t="shared" si="2"/>
        <v>2</v>
      </c>
      <c r="K26" s="3">
        <f t="shared" si="3"/>
        <v>0</v>
      </c>
      <c r="L26" s="3" t="str">
        <f t="shared" si="12"/>
        <v>37, 52</v>
      </c>
      <c r="M26" s="3" t="str">
        <f t="shared" si="13"/>
        <v>MARTINS ,MARTINS</v>
      </c>
      <c r="N26">
        <f t="shared" si="4"/>
        <v>2</v>
      </c>
      <c r="P26">
        <f t="shared" si="5"/>
        <v>37</v>
      </c>
      <c r="Q26" t="str">
        <f t="shared" si="16"/>
        <v>, 52</v>
      </c>
      <c r="R26" t="str">
        <f t="shared" si="16"/>
        <v/>
      </c>
      <c r="S26" t="str">
        <f t="shared" si="16"/>
        <v/>
      </c>
      <c r="T26" t="str">
        <f t="shared" si="16"/>
        <v/>
      </c>
      <c r="U26" t="str">
        <f t="shared" si="16"/>
        <v/>
      </c>
      <c r="V26" t="str">
        <f t="shared" si="16"/>
        <v/>
      </c>
      <c r="Z26" t="str">
        <f t="shared" si="7"/>
        <v>MARTINS</v>
      </c>
      <c r="AA26" t="str">
        <f t="shared" si="17"/>
        <v xml:space="preserve"> ,MARTINS</v>
      </c>
      <c r="AB26" t="str">
        <f t="shared" si="17"/>
        <v/>
      </c>
      <c r="AC26" t="str">
        <f t="shared" si="17"/>
        <v/>
      </c>
      <c r="AD26" t="str">
        <f t="shared" si="17"/>
        <v/>
      </c>
      <c r="AE26" t="str">
        <f t="shared" si="17"/>
        <v/>
      </c>
      <c r="AF26" t="str">
        <f t="shared" si="17"/>
        <v/>
      </c>
      <c r="AV26">
        <v>25</v>
      </c>
      <c r="AW26" t="s">
        <v>7</v>
      </c>
      <c r="BM26">
        <v>25</v>
      </c>
      <c r="BN26" t="s">
        <v>324</v>
      </c>
      <c r="BO26" t="str">
        <f t="shared" si="9"/>
        <v>TULIO pg</v>
      </c>
      <c r="BP26" t="b">
        <f t="shared" si="10"/>
        <v>1</v>
      </c>
    </row>
    <row r="27" spans="1:68">
      <c r="A27">
        <v>26</v>
      </c>
      <c r="B27" t="s">
        <v>23</v>
      </c>
      <c r="C27" s="1">
        <v>2039943998</v>
      </c>
      <c r="D27" t="s">
        <v>280</v>
      </c>
      <c r="E27">
        <f>COUNTIF($C$1:C27,C27)</f>
        <v>1</v>
      </c>
      <c r="F27" t="str">
        <f t="shared" si="0"/>
        <v>20399439981</v>
      </c>
      <c r="G27">
        <f t="shared" si="1"/>
        <v>0</v>
      </c>
      <c r="H27">
        <f t="shared" si="11"/>
        <v>0</v>
      </c>
      <c r="I27" s="4">
        <v>2038566452</v>
      </c>
      <c r="J27" s="5">
        <f t="shared" si="2"/>
        <v>2</v>
      </c>
      <c r="K27" s="5">
        <f t="shared" si="3"/>
        <v>0</v>
      </c>
      <c r="L27" s="5" t="str">
        <f t="shared" si="12"/>
        <v>39, 150</v>
      </c>
      <c r="M27" s="5" t="str">
        <f t="shared" si="13"/>
        <v>SANZIO ,SANZIO</v>
      </c>
      <c r="N27">
        <f t="shared" si="4"/>
        <v>2</v>
      </c>
      <c r="P27">
        <f t="shared" si="5"/>
        <v>39</v>
      </c>
      <c r="Q27" t="str">
        <f t="shared" si="16"/>
        <v>, 150</v>
      </c>
      <c r="R27" t="str">
        <f t="shared" si="16"/>
        <v/>
      </c>
      <c r="S27" t="str">
        <f t="shared" si="16"/>
        <v/>
      </c>
      <c r="T27" t="str">
        <f t="shared" si="16"/>
        <v/>
      </c>
      <c r="U27" t="str">
        <f t="shared" si="16"/>
        <v/>
      </c>
      <c r="V27" t="str">
        <f t="shared" si="16"/>
        <v/>
      </c>
      <c r="Z27" t="str">
        <f t="shared" si="7"/>
        <v>SANZIO</v>
      </c>
      <c r="AA27" t="str">
        <f t="shared" si="17"/>
        <v xml:space="preserve"> ,SANZIO</v>
      </c>
      <c r="AB27" t="str">
        <f t="shared" si="17"/>
        <v/>
      </c>
      <c r="AC27" t="str">
        <f t="shared" si="17"/>
        <v/>
      </c>
      <c r="AD27" t="str">
        <f t="shared" si="17"/>
        <v/>
      </c>
      <c r="AE27" t="str">
        <f t="shared" si="17"/>
        <v/>
      </c>
      <c r="AF27" t="str">
        <f t="shared" si="17"/>
        <v/>
      </c>
      <c r="AV27">
        <v>26</v>
      </c>
      <c r="AW27" t="s">
        <v>23</v>
      </c>
      <c r="BM27">
        <v>26</v>
      </c>
      <c r="BN27" t="s">
        <v>23</v>
      </c>
      <c r="BO27" t="str">
        <f t="shared" si="9"/>
        <v>FERNANDO XARA</v>
      </c>
      <c r="BP27" t="b">
        <f t="shared" si="10"/>
        <v>1</v>
      </c>
    </row>
    <row r="28" spans="1:68">
      <c r="A28">
        <v>27</v>
      </c>
      <c r="B28" t="s">
        <v>323</v>
      </c>
      <c r="C28" s="1">
        <v>2032803585</v>
      </c>
      <c r="D28" t="s">
        <v>280</v>
      </c>
      <c r="E28">
        <f>COUNTIF($C$1:C28,C28)</f>
        <v>2</v>
      </c>
      <c r="F28" t="str">
        <f t="shared" si="0"/>
        <v>20328035852</v>
      </c>
      <c r="G28">
        <f t="shared" si="1"/>
        <v>1</v>
      </c>
      <c r="H28">
        <f t="shared" si="11"/>
        <v>0</v>
      </c>
      <c r="I28" s="2">
        <v>2033606365</v>
      </c>
      <c r="J28" s="3">
        <f t="shared" si="2"/>
        <v>1</v>
      </c>
      <c r="K28" s="3">
        <f t="shared" si="3"/>
        <v>0</v>
      </c>
      <c r="L28" s="3" t="str">
        <f t="shared" si="12"/>
        <v>40</v>
      </c>
      <c r="M28" s="3" t="str">
        <f t="shared" si="13"/>
        <v>MARCELAO</v>
      </c>
      <c r="N28">
        <f t="shared" si="4"/>
        <v>1</v>
      </c>
      <c r="P28">
        <f t="shared" si="5"/>
        <v>40</v>
      </c>
      <c r="Q28" t="str">
        <f t="shared" si="16"/>
        <v/>
      </c>
      <c r="R28" t="str">
        <f t="shared" si="16"/>
        <v/>
      </c>
      <c r="S28" t="str">
        <f t="shared" si="16"/>
        <v/>
      </c>
      <c r="T28" t="str">
        <f t="shared" si="16"/>
        <v/>
      </c>
      <c r="U28" t="str">
        <f t="shared" si="16"/>
        <v/>
      </c>
      <c r="V28" t="str">
        <f t="shared" si="16"/>
        <v/>
      </c>
      <c r="Z28" t="str">
        <f t="shared" si="7"/>
        <v>MARCELAO</v>
      </c>
      <c r="AA28" t="str">
        <f t="shared" si="17"/>
        <v/>
      </c>
      <c r="AB28" t="str">
        <f t="shared" si="17"/>
        <v/>
      </c>
      <c r="AC28" t="str">
        <f t="shared" si="17"/>
        <v/>
      </c>
      <c r="AD28" t="str">
        <f t="shared" si="17"/>
        <v/>
      </c>
      <c r="AE28" t="str">
        <f t="shared" si="17"/>
        <v/>
      </c>
      <c r="AF28" t="str">
        <f t="shared" si="17"/>
        <v/>
      </c>
      <c r="AV28">
        <v>27</v>
      </c>
      <c r="AW28" t="s">
        <v>19</v>
      </c>
      <c r="BM28">
        <v>27</v>
      </c>
      <c r="BN28" t="s">
        <v>323</v>
      </c>
      <c r="BO28" t="str">
        <f t="shared" si="9"/>
        <v>GILSON pg</v>
      </c>
      <c r="BP28" t="b">
        <f t="shared" si="10"/>
        <v>1</v>
      </c>
    </row>
    <row r="29" spans="1:68">
      <c r="A29">
        <v>28</v>
      </c>
      <c r="B29" t="s">
        <v>24</v>
      </c>
      <c r="C29" s="1">
        <v>2033607352</v>
      </c>
      <c r="D29" t="s">
        <v>282</v>
      </c>
      <c r="E29">
        <f>COUNTIF($C$1:C29,C29)</f>
        <v>1</v>
      </c>
      <c r="F29" t="str">
        <f t="shared" si="0"/>
        <v>20336073521</v>
      </c>
      <c r="G29">
        <f t="shared" si="1"/>
        <v>0</v>
      </c>
      <c r="H29">
        <f t="shared" si="11"/>
        <v>0</v>
      </c>
      <c r="I29" s="4">
        <v>4753621811</v>
      </c>
      <c r="J29" s="5">
        <f t="shared" si="2"/>
        <v>2</v>
      </c>
      <c r="K29" s="5">
        <f t="shared" si="3"/>
        <v>0</v>
      </c>
      <c r="L29" s="5" t="str">
        <f t="shared" si="12"/>
        <v>41, 50</v>
      </c>
      <c r="M29" s="5" t="str">
        <f t="shared" si="13"/>
        <v>SIMONE ,SIMONE</v>
      </c>
      <c r="N29">
        <f t="shared" si="4"/>
        <v>2</v>
      </c>
      <c r="P29">
        <f t="shared" si="5"/>
        <v>41</v>
      </c>
      <c r="Q29" t="str">
        <f t="shared" si="16"/>
        <v>, 50</v>
      </c>
      <c r="R29" t="str">
        <f t="shared" si="16"/>
        <v/>
      </c>
      <c r="S29" t="str">
        <f t="shared" si="16"/>
        <v/>
      </c>
      <c r="T29" t="str">
        <f t="shared" si="16"/>
        <v/>
      </c>
      <c r="U29" t="str">
        <f t="shared" si="16"/>
        <v/>
      </c>
      <c r="V29" t="str">
        <f t="shared" si="16"/>
        <v/>
      </c>
      <c r="Z29" t="str">
        <f t="shared" si="7"/>
        <v>SIMONE</v>
      </c>
      <c r="AA29" t="str">
        <f t="shared" si="17"/>
        <v xml:space="preserve"> ,SIMONE</v>
      </c>
      <c r="AB29" t="str">
        <f t="shared" si="17"/>
        <v/>
      </c>
      <c r="AC29" t="str">
        <f t="shared" si="17"/>
        <v/>
      </c>
      <c r="AD29" t="str">
        <f t="shared" si="17"/>
        <v/>
      </c>
      <c r="AE29" t="str">
        <f t="shared" si="17"/>
        <v/>
      </c>
      <c r="AF29" t="str">
        <f t="shared" si="17"/>
        <v/>
      </c>
      <c r="AV29">
        <v>28</v>
      </c>
      <c r="AW29" t="s">
        <v>24</v>
      </c>
      <c r="BM29">
        <v>28</v>
      </c>
      <c r="BN29" t="s">
        <v>24</v>
      </c>
      <c r="BO29" t="str">
        <f t="shared" si="9"/>
        <v>WELVERTON</v>
      </c>
      <c r="BP29" t="b">
        <f t="shared" si="10"/>
        <v>1</v>
      </c>
    </row>
    <row r="30" spans="1:68">
      <c r="A30">
        <v>29</v>
      </c>
      <c r="B30" t="s">
        <v>20</v>
      </c>
      <c r="C30" s="1">
        <v>2033490246</v>
      </c>
      <c r="D30" t="s">
        <v>280</v>
      </c>
      <c r="E30">
        <f>COUNTIF($C$1:C30,C30)</f>
        <v>2</v>
      </c>
      <c r="F30" t="str">
        <f t="shared" si="0"/>
        <v>20334902462</v>
      </c>
      <c r="G30">
        <f t="shared" si="1"/>
        <v>1</v>
      </c>
      <c r="H30">
        <f t="shared" si="11"/>
        <v>0</v>
      </c>
      <c r="I30" s="2">
        <v>4759884337</v>
      </c>
      <c r="J30" s="3">
        <f t="shared" si="2"/>
        <v>1</v>
      </c>
      <c r="K30" s="3">
        <f t="shared" si="3"/>
        <v>0</v>
      </c>
      <c r="L30" s="3" t="str">
        <f t="shared" si="12"/>
        <v>42</v>
      </c>
      <c r="M30" s="3" t="str">
        <f t="shared" si="13"/>
        <v>ALESSANDRO BARBOSA (LEO BAIA)</v>
      </c>
      <c r="N30">
        <f t="shared" si="4"/>
        <v>1</v>
      </c>
      <c r="P30">
        <f t="shared" si="5"/>
        <v>42</v>
      </c>
      <c r="Q30" t="str">
        <f t="shared" si="16"/>
        <v/>
      </c>
      <c r="R30" t="str">
        <f t="shared" si="16"/>
        <v/>
      </c>
      <c r="S30" t="str">
        <f t="shared" si="16"/>
        <v/>
      </c>
      <c r="T30" t="str">
        <f t="shared" si="16"/>
        <v/>
      </c>
      <c r="U30" t="str">
        <f t="shared" si="16"/>
        <v/>
      </c>
      <c r="V30" t="str">
        <f t="shared" si="16"/>
        <v/>
      </c>
      <c r="Z30" t="str">
        <f t="shared" si="7"/>
        <v>ALESSANDRO BARBOSA (LEO BAIA)</v>
      </c>
      <c r="AA30" t="str">
        <f t="shared" si="17"/>
        <v/>
      </c>
      <c r="AB30" t="str">
        <f t="shared" si="17"/>
        <v/>
      </c>
      <c r="AC30" t="str">
        <f t="shared" si="17"/>
        <v/>
      </c>
      <c r="AD30" t="str">
        <f t="shared" si="17"/>
        <v/>
      </c>
      <c r="AE30" t="str">
        <f t="shared" si="17"/>
        <v/>
      </c>
      <c r="AF30" t="str">
        <f t="shared" si="17"/>
        <v/>
      </c>
      <c r="AV30">
        <v>29</v>
      </c>
      <c r="AW30" t="s">
        <v>20</v>
      </c>
      <c r="BM30">
        <v>29</v>
      </c>
      <c r="BN30" t="s">
        <v>20</v>
      </c>
      <c r="BO30" t="str">
        <f t="shared" si="9"/>
        <v>SOLON pg</v>
      </c>
      <c r="BP30" t="b">
        <f t="shared" si="10"/>
        <v>1</v>
      </c>
    </row>
    <row r="31" spans="1:68">
      <c r="A31">
        <v>30</v>
      </c>
      <c r="B31" t="s">
        <v>25</v>
      </c>
      <c r="C31" s="1">
        <v>5511997219288</v>
      </c>
      <c r="D31" t="s">
        <v>280</v>
      </c>
      <c r="E31">
        <f>COUNTIF($C$1:C31,C31)</f>
        <v>1</v>
      </c>
      <c r="F31" t="str">
        <f t="shared" si="0"/>
        <v>55119972192881</v>
      </c>
      <c r="G31">
        <f t="shared" si="1"/>
        <v>0</v>
      </c>
      <c r="H31">
        <f t="shared" si="11"/>
        <v>0</v>
      </c>
      <c r="I31" s="4">
        <v>5511992712403</v>
      </c>
      <c r="J31" s="5">
        <f t="shared" si="2"/>
        <v>1</v>
      </c>
      <c r="K31" s="5">
        <f t="shared" si="3"/>
        <v>0</v>
      </c>
      <c r="L31" s="5" t="str">
        <f t="shared" si="12"/>
        <v>43</v>
      </c>
      <c r="M31" s="5" t="str">
        <f t="shared" si="13"/>
        <v>IGOR</v>
      </c>
      <c r="N31">
        <f t="shared" si="4"/>
        <v>1</v>
      </c>
      <c r="P31">
        <f t="shared" si="5"/>
        <v>43</v>
      </c>
      <c r="Q31" t="str">
        <f t="shared" si="16"/>
        <v/>
      </c>
      <c r="R31" t="str">
        <f t="shared" si="16"/>
        <v/>
      </c>
      <c r="S31" t="str">
        <f t="shared" si="16"/>
        <v/>
      </c>
      <c r="T31" t="str">
        <f t="shared" si="16"/>
        <v/>
      </c>
      <c r="U31" t="str">
        <f t="shared" si="16"/>
        <v/>
      </c>
      <c r="V31" t="str">
        <f t="shared" si="16"/>
        <v/>
      </c>
      <c r="Z31" t="str">
        <f t="shared" si="7"/>
        <v>IGOR</v>
      </c>
      <c r="AA31" t="str">
        <f t="shared" si="17"/>
        <v/>
      </c>
      <c r="AB31" t="str">
        <f t="shared" si="17"/>
        <v/>
      </c>
      <c r="AC31" t="str">
        <f t="shared" si="17"/>
        <v/>
      </c>
      <c r="AD31" t="str">
        <f t="shared" si="17"/>
        <v/>
      </c>
      <c r="AE31" t="str">
        <f t="shared" si="17"/>
        <v/>
      </c>
      <c r="AF31" t="str">
        <f t="shared" si="17"/>
        <v/>
      </c>
      <c r="AV31">
        <v>30</v>
      </c>
      <c r="AW31" t="s">
        <v>25</v>
      </c>
      <c r="BM31">
        <v>30</v>
      </c>
      <c r="BN31" t="s">
        <v>25</v>
      </c>
      <c r="BO31" t="str">
        <f t="shared" si="9"/>
        <v>PAULO HENRIQUE</v>
      </c>
      <c r="BP31" t="b">
        <f t="shared" si="10"/>
        <v>1</v>
      </c>
    </row>
    <row r="32" spans="1:68">
      <c r="A32">
        <v>31</v>
      </c>
      <c r="B32" t="s">
        <v>363</v>
      </c>
      <c r="C32" s="1">
        <v>2038731605</v>
      </c>
      <c r="D32" t="s">
        <v>280</v>
      </c>
      <c r="E32">
        <f>COUNTIF($C$1:C32,C32)</f>
        <v>1</v>
      </c>
      <c r="F32" t="str">
        <f t="shared" si="0"/>
        <v>20387316051</v>
      </c>
      <c r="G32">
        <f t="shared" si="1"/>
        <v>1</v>
      </c>
      <c r="H32">
        <f t="shared" si="11"/>
        <v>0</v>
      </c>
      <c r="I32" s="2">
        <v>2033607352</v>
      </c>
      <c r="J32" s="3">
        <f t="shared" si="2"/>
        <v>3</v>
      </c>
      <c r="K32" s="3">
        <f t="shared" si="3"/>
        <v>0</v>
      </c>
      <c r="L32" s="3" t="str">
        <f t="shared" si="12"/>
        <v>28, 44, 137</v>
      </c>
      <c r="M32" s="3" t="str">
        <f t="shared" si="13"/>
        <v>WELVERTON ,CRISTIANO ,CRISTIANO</v>
      </c>
      <c r="N32">
        <f t="shared" si="4"/>
        <v>3</v>
      </c>
      <c r="P32">
        <f t="shared" si="5"/>
        <v>28</v>
      </c>
      <c r="Q32" t="str">
        <f t="shared" ref="Q32:V41" si="18">IFERROR(", "&amp;INDEX($A$2:$A$501,MATCH($I32&amp;Q$1,$F$2:$F$501,0)),"")</f>
        <v>, 44</v>
      </c>
      <c r="R32" t="str">
        <f t="shared" si="18"/>
        <v>, 137</v>
      </c>
      <c r="S32" t="str">
        <f t="shared" si="18"/>
        <v/>
      </c>
      <c r="T32" t="str">
        <f t="shared" si="18"/>
        <v/>
      </c>
      <c r="U32" t="str">
        <f t="shared" si="18"/>
        <v/>
      </c>
      <c r="V32" t="str">
        <f t="shared" si="18"/>
        <v/>
      </c>
      <c r="Z32" t="str">
        <f t="shared" si="7"/>
        <v>WELVERTON</v>
      </c>
      <c r="AA32" t="str">
        <f t="shared" ref="AA32:AF41" si="19">IFERROR(" ,"&amp;INDEX($B$2:$B$501,MATCH($I32&amp;AA$1,$F$2:$F$501,0)),"")</f>
        <v xml:space="preserve"> ,CRISTIANO</v>
      </c>
      <c r="AB32" t="str">
        <f t="shared" si="19"/>
        <v xml:space="preserve"> ,CRISTIANO</v>
      </c>
      <c r="AC32" t="str">
        <f t="shared" si="19"/>
        <v/>
      </c>
      <c r="AD32" t="str">
        <f t="shared" si="19"/>
        <v/>
      </c>
      <c r="AE32" t="str">
        <f t="shared" si="19"/>
        <v/>
      </c>
      <c r="AF32" t="str">
        <f t="shared" si="19"/>
        <v/>
      </c>
      <c r="AV32">
        <v>31</v>
      </c>
      <c r="AW32" t="s">
        <v>26</v>
      </c>
      <c r="BM32">
        <v>31</v>
      </c>
      <c r="BN32" t="s">
        <v>26</v>
      </c>
      <c r="BO32" t="str">
        <f t="shared" si="9"/>
        <v>OSNI pg</v>
      </c>
      <c r="BP32" t="b">
        <f t="shared" si="10"/>
        <v>0</v>
      </c>
    </row>
    <row r="33" spans="1:68">
      <c r="A33">
        <v>32</v>
      </c>
      <c r="B33" t="s">
        <v>27</v>
      </c>
      <c r="D33" t="s">
        <v>281</v>
      </c>
      <c r="E33">
        <f>COUNTIF($C$1:C33,C33)</f>
        <v>0</v>
      </c>
      <c r="F33" t="str">
        <f t="shared" si="0"/>
        <v>0</v>
      </c>
      <c r="G33">
        <f t="shared" si="1"/>
        <v>0</v>
      </c>
      <c r="H33">
        <f t="shared" si="11"/>
        <v>0</v>
      </c>
      <c r="I33" s="4">
        <v>2038185657</v>
      </c>
      <c r="J33" s="5">
        <f t="shared" si="2"/>
        <v>2</v>
      </c>
      <c r="K33" s="5">
        <f t="shared" si="3"/>
        <v>2</v>
      </c>
      <c r="L33" s="5" t="str">
        <f t="shared" si="12"/>
        <v>46, 110</v>
      </c>
      <c r="M33" s="5" t="str">
        <f t="shared" si="13"/>
        <v>JESSICA pg ,JESSICA pg</v>
      </c>
      <c r="N33">
        <f t="shared" si="4"/>
        <v>0</v>
      </c>
      <c r="P33">
        <f t="shared" si="5"/>
        <v>46</v>
      </c>
      <c r="Q33" t="str">
        <f t="shared" si="18"/>
        <v>, 110</v>
      </c>
      <c r="R33" t="str">
        <f t="shared" si="18"/>
        <v/>
      </c>
      <c r="S33" t="str">
        <f t="shared" si="18"/>
        <v/>
      </c>
      <c r="T33" t="str">
        <f t="shared" si="18"/>
        <v/>
      </c>
      <c r="U33" t="str">
        <f t="shared" si="18"/>
        <v/>
      </c>
      <c r="V33" t="str">
        <f t="shared" si="18"/>
        <v/>
      </c>
      <c r="Z33" t="str">
        <f t="shared" si="7"/>
        <v>JESSICA pg</v>
      </c>
      <c r="AA33" t="str">
        <f t="shared" si="19"/>
        <v xml:space="preserve"> ,JESSICA pg</v>
      </c>
      <c r="AB33" t="str">
        <f t="shared" si="19"/>
        <v/>
      </c>
      <c r="AC33" t="str">
        <f t="shared" si="19"/>
        <v/>
      </c>
      <c r="AD33" t="str">
        <f t="shared" si="19"/>
        <v/>
      </c>
      <c r="AE33" t="str">
        <f t="shared" si="19"/>
        <v/>
      </c>
      <c r="AF33" t="str">
        <f t="shared" si="19"/>
        <v/>
      </c>
      <c r="AV33">
        <v>32</v>
      </c>
      <c r="AW33" t="s">
        <v>27</v>
      </c>
      <c r="BM33">
        <v>32</v>
      </c>
      <c r="BN33" t="s">
        <v>27</v>
      </c>
      <c r="BO33" t="str">
        <f t="shared" si="9"/>
        <v>HENRY QUINTANA</v>
      </c>
      <c r="BP33" t="b">
        <f t="shared" si="10"/>
        <v>1</v>
      </c>
    </row>
    <row r="34" spans="1:68">
      <c r="A34">
        <v>33</v>
      </c>
      <c r="B34" t="s">
        <v>316</v>
      </c>
      <c r="C34" s="1">
        <v>2035595696</v>
      </c>
      <c r="D34" t="s">
        <v>280</v>
      </c>
      <c r="E34">
        <f>COUNTIF($C$1:C34,C34)</f>
        <v>1</v>
      </c>
      <c r="F34" t="str">
        <f t="shared" si="0"/>
        <v>20355956961</v>
      </c>
      <c r="G34">
        <f t="shared" si="1"/>
        <v>1</v>
      </c>
      <c r="H34">
        <f t="shared" si="11"/>
        <v>0</v>
      </c>
      <c r="I34" s="2">
        <v>2032122279</v>
      </c>
      <c r="J34" s="3">
        <f t="shared" ref="J34:J65" si="20">COUNTIF(C:C,I34)</f>
        <v>3</v>
      </c>
      <c r="K34" s="3">
        <f t="shared" ref="K34:K65" si="21">COUNTIFS(C:C,I34,G:G,1)+COUNTIFS(C:C,I34,H:H,1)</f>
        <v>0</v>
      </c>
      <c r="L34" s="3" t="str">
        <f t="shared" si="12"/>
        <v>47, 470, 478</v>
      </c>
      <c r="M34" s="3" t="str">
        <f t="shared" si="13"/>
        <v>JEREMIAS COSTA ,JEREMIAS COSTA ,JEREMIAS COSTA</v>
      </c>
      <c r="N34">
        <f t="shared" ref="N34:N65" si="22">J34-K34</f>
        <v>3</v>
      </c>
      <c r="P34">
        <f t="shared" ref="P34:P65" si="23">IFERROR(INDEX($A$2:$A$501,MATCH($I34&amp;P$1,$F$2:$F$501,0)),"")</f>
        <v>47</v>
      </c>
      <c r="Q34" t="str">
        <f t="shared" si="18"/>
        <v>, 470</v>
      </c>
      <c r="R34" t="str">
        <f t="shared" si="18"/>
        <v>, 478</v>
      </c>
      <c r="S34" t="str">
        <f t="shared" si="18"/>
        <v/>
      </c>
      <c r="T34" t="str">
        <f t="shared" si="18"/>
        <v/>
      </c>
      <c r="U34" t="str">
        <f t="shared" si="18"/>
        <v/>
      </c>
      <c r="V34" t="str">
        <f t="shared" si="18"/>
        <v/>
      </c>
      <c r="Z34" t="str">
        <f t="shared" ref="Z34:Z65" si="24">IFERROR(INDEX($B$2:$B$501,MATCH($I34&amp;Z$1,$F$2:$F$501,0)),"")</f>
        <v>JEREMIAS COSTA</v>
      </c>
      <c r="AA34" t="str">
        <f t="shared" si="19"/>
        <v xml:space="preserve"> ,JEREMIAS COSTA</v>
      </c>
      <c r="AB34" t="str">
        <f t="shared" si="19"/>
        <v xml:space="preserve"> ,JEREMIAS COSTA</v>
      </c>
      <c r="AC34" t="str">
        <f t="shared" si="19"/>
        <v/>
      </c>
      <c r="AD34" t="str">
        <f t="shared" si="19"/>
        <v/>
      </c>
      <c r="AE34" t="str">
        <f t="shared" si="19"/>
        <v/>
      </c>
      <c r="AF34" t="str">
        <f t="shared" si="19"/>
        <v/>
      </c>
      <c r="AV34">
        <v>33</v>
      </c>
      <c r="AW34" t="s">
        <v>28</v>
      </c>
      <c r="BM34">
        <v>33</v>
      </c>
      <c r="BN34" t="s">
        <v>316</v>
      </c>
      <c r="BO34" t="str">
        <f t="shared" si="9"/>
        <v>JAIRO pg</v>
      </c>
      <c r="BP34" t="b">
        <f t="shared" ref="BP34:BP65" si="25">BO34=BN34</f>
        <v>1</v>
      </c>
    </row>
    <row r="35" spans="1:68">
      <c r="A35">
        <v>34</v>
      </c>
      <c r="B35" t="s">
        <v>29</v>
      </c>
      <c r="C35" s="1">
        <v>2039534887</v>
      </c>
      <c r="D35" t="s">
        <v>280</v>
      </c>
      <c r="E35">
        <f>COUNTIF($C$1:C35,C35)</f>
        <v>1</v>
      </c>
      <c r="F35" t="str">
        <f t="shared" si="0"/>
        <v>20395348871</v>
      </c>
      <c r="G35">
        <f t="shared" si="1"/>
        <v>1</v>
      </c>
      <c r="H35">
        <f t="shared" si="11"/>
        <v>0</v>
      </c>
      <c r="I35" s="4">
        <v>2038148765</v>
      </c>
      <c r="J35" s="5">
        <f t="shared" si="20"/>
        <v>1</v>
      </c>
      <c r="K35" s="5">
        <f t="shared" si="21"/>
        <v>0</v>
      </c>
      <c r="L35" s="5" t="str">
        <f t="shared" si="12"/>
        <v>48</v>
      </c>
      <c r="M35" s="5" t="str">
        <f t="shared" si="13"/>
        <v>MARCIO CARVALHO</v>
      </c>
      <c r="N35">
        <f t="shared" si="22"/>
        <v>1</v>
      </c>
      <c r="P35">
        <f t="shared" si="23"/>
        <v>48</v>
      </c>
      <c r="Q35" t="str">
        <f t="shared" si="18"/>
        <v/>
      </c>
      <c r="R35" t="str">
        <f t="shared" si="18"/>
        <v/>
      </c>
      <c r="S35" t="str">
        <f t="shared" si="18"/>
        <v/>
      </c>
      <c r="T35" t="str">
        <f t="shared" si="18"/>
        <v/>
      </c>
      <c r="U35" t="str">
        <f t="shared" si="18"/>
        <v/>
      </c>
      <c r="V35" t="str">
        <f t="shared" si="18"/>
        <v/>
      </c>
      <c r="Z35" t="str">
        <f t="shared" si="24"/>
        <v>MARCIO CARVALHO</v>
      </c>
      <c r="AA35" t="str">
        <f t="shared" si="19"/>
        <v/>
      </c>
      <c r="AB35" t="str">
        <f t="shared" si="19"/>
        <v/>
      </c>
      <c r="AC35" t="str">
        <f t="shared" si="19"/>
        <v/>
      </c>
      <c r="AD35" t="str">
        <f t="shared" si="19"/>
        <v/>
      </c>
      <c r="AE35" t="str">
        <f t="shared" si="19"/>
        <v/>
      </c>
      <c r="AF35" t="str">
        <f t="shared" si="19"/>
        <v/>
      </c>
      <c r="AV35">
        <v>34</v>
      </c>
      <c r="AW35" t="s">
        <v>29</v>
      </c>
      <c r="BM35">
        <v>34</v>
      </c>
      <c r="BN35" t="s">
        <v>29</v>
      </c>
      <c r="BO35" t="str">
        <f t="shared" si="9"/>
        <v>Two (Allisson) pg</v>
      </c>
      <c r="BP35" t="b">
        <f t="shared" si="25"/>
        <v>1</v>
      </c>
    </row>
    <row r="36" spans="1:68">
      <c r="A36">
        <v>35</v>
      </c>
      <c r="B36" t="s">
        <v>30</v>
      </c>
      <c r="C36" s="1">
        <v>2032437348</v>
      </c>
      <c r="D36" t="s">
        <v>280</v>
      </c>
      <c r="E36">
        <f>COUNTIF($C$1:C36,C36)</f>
        <v>1</v>
      </c>
      <c r="F36" t="str">
        <f t="shared" si="0"/>
        <v>20324373481</v>
      </c>
      <c r="G36">
        <f t="shared" si="1"/>
        <v>0</v>
      </c>
      <c r="H36">
        <f t="shared" si="11"/>
        <v>0</v>
      </c>
      <c r="I36" s="2">
        <v>2036679981</v>
      </c>
      <c r="J36" s="3">
        <f t="shared" si="20"/>
        <v>1</v>
      </c>
      <c r="K36" s="3">
        <f t="shared" si="21"/>
        <v>1</v>
      </c>
      <c r="L36" s="3" t="str">
        <f t="shared" si="12"/>
        <v>49</v>
      </c>
      <c r="M36" s="3" t="str">
        <f t="shared" si="13"/>
        <v>RENE pg</v>
      </c>
      <c r="N36">
        <f t="shared" si="22"/>
        <v>0</v>
      </c>
      <c r="P36">
        <f t="shared" si="23"/>
        <v>49</v>
      </c>
      <c r="Q36" t="str">
        <f t="shared" si="18"/>
        <v/>
      </c>
      <c r="R36" t="str">
        <f t="shared" si="18"/>
        <v/>
      </c>
      <c r="S36" t="str">
        <f t="shared" si="18"/>
        <v/>
      </c>
      <c r="T36" t="str">
        <f t="shared" si="18"/>
        <v/>
      </c>
      <c r="U36" t="str">
        <f t="shared" si="18"/>
        <v/>
      </c>
      <c r="V36" t="str">
        <f t="shared" si="18"/>
        <v/>
      </c>
      <c r="Z36" t="str">
        <f t="shared" si="24"/>
        <v>RENE pg</v>
      </c>
      <c r="AA36" t="str">
        <f t="shared" si="19"/>
        <v/>
      </c>
      <c r="AB36" t="str">
        <f t="shared" si="19"/>
        <v/>
      </c>
      <c r="AC36" t="str">
        <f t="shared" si="19"/>
        <v/>
      </c>
      <c r="AD36" t="str">
        <f t="shared" si="19"/>
        <v/>
      </c>
      <c r="AE36" t="str">
        <f t="shared" si="19"/>
        <v/>
      </c>
      <c r="AF36" t="str">
        <f t="shared" si="19"/>
        <v/>
      </c>
      <c r="AV36">
        <v>35</v>
      </c>
      <c r="AW36" t="s">
        <v>30</v>
      </c>
      <c r="BM36">
        <v>35</v>
      </c>
      <c r="BN36" t="s">
        <v>30</v>
      </c>
      <c r="BO36" t="str">
        <f t="shared" si="9"/>
        <v>BETO</v>
      </c>
      <c r="BP36" t="b">
        <f t="shared" si="25"/>
        <v>1</v>
      </c>
    </row>
    <row r="37" spans="1:68">
      <c r="A37">
        <v>36</v>
      </c>
      <c r="B37" t="s">
        <v>360</v>
      </c>
      <c r="C37" s="1">
        <v>2035158719</v>
      </c>
      <c r="D37" t="s">
        <v>280</v>
      </c>
      <c r="E37">
        <f>COUNTIF($C$1:C37,C37)</f>
        <v>1</v>
      </c>
      <c r="F37" t="str">
        <f t="shared" si="0"/>
        <v>20351587191</v>
      </c>
      <c r="G37">
        <f t="shared" si="1"/>
        <v>1</v>
      </c>
      <c r="H37">
        <f t="shared" si="11"/>
        <v>0</v>
      </c>
      <c r="I37" s="4">
        <v>9144399667</v>
      </c>
      <c r="J37" s="5">
        <f t="shared" si="20"/>
        <v>2</v>
      </c>
      <c r="K37" s="5">
        <f t="shared" si="21"/>
        <v>2</v>
      </c>
      <c r="L37" s="5" t="str">
        <f t="shared" si="12"/>
        <v>53, 65</v>
      </c>
      <c r="M37" s="5" t="str">
        <f t="shared" si="13"/>
        <v>ALAN KARLA pg ,ALAN KARLA pg</v>
      </c>
      <c r="N37">
        <f t="shared" si="22"/>
        <v>0</v>
      </c>
      <c r="P37">
        <f t="shared" si="23"/>
        <v>53</v>
      </c>
      <c r="Q37" t="str">
        <f t="shared" si="18"/>
        <v>, 65</v>
      </c>
      <c r="R37" t="str">
        <f t="shared" si="18"/>
        <v/>
      </c>
      <c r="S37" t="str">
        <f t="shared" si="18"/>
        <v/>
      </c>
      <c r="T37" t="str">
        <f t="shared" si="18"/>
        <v/>
      </c>
      <c r="U37" t="str">
        <f t="shared" si="18"/>
        <v/>
      </c>
      <c r="V37" t="str">
        <f t="shared" si="18"/>
        <v/>
      </c>
      <c r="Z37" t="str">
        <f t="shared" si="24"/>
        <v>ALAN KARLA pg</v>
      </c>
      <c r="AA37" t="str">
        <f t="shared" si="19"/>
        <v xml:space="preserve"> ,ALAN KARLA pg</v>
      </c>
      <c r="AB37" t="str">
        <f t="shared" si="19"/>
        <v/>
      </c>
      <c r="AC37" t="str">
        <f t="shared" si="19"/>
        <v/>
      </c>
      <c r="AD37" t="str">
        <f t="shared" si="19"/>
        <v/>
      </c>
      <c r="AE37" t="str">
        <f t="shared" si="19"/>
        <v/>
      </c>
      <c r="AF37" t="str">
        <f t="shared" si="19"/>
        <v/>
      </c>
      <c r="AV37">
        <v>36</v>
      </c>
      <c r="AW37" t="s">
        <v>31</v>
      </c>
      <c r="BM37">
        <v>36</v>
      </c>
      <c r="BN37" t="s">
        <v>31</v>
      </c>
      <c r="BO37" t="str">
        <f t="shared" si="9"/>
        <v>ROGERINHO pg</v>
      </c>
      <c r="BP37" t="b">
        <f t="shared" si="25"/>
        <v>0</v>
      </c>
    </row>
    <row r="38" spans="1:68">
      <c r="A38">
        <v>37</v>
      </c>
      <c r="B38" t="s">
        <v>32</v>
      </c>
      <c r="C38" s="1">
        <v>2039483635</v>
      </c>
      <c r="D38" t="s">
        <v>280</v>
      </c>
      <c r="E38">
        <f>COUNTIF($C$1:C38,C38)</f>
        <v>1</v>
      </c>
      <c r="F38" t="str">
        <f t="shared" si="0"/>
        <v>20394836351</v>
      </c>
      <c r="G38">
        <f t="shared" si="1"/>
        <v>0</v>
      </c>
      <c r="H38">
        <f t="shared" si="11"/>
        <v>0</v>
      </c>
      <c r="I38" s="2">
        <v>2039237387</v>
      </c>
      <c r="J38" s="3">
        <f t="shared" si="20"/>
        <v>3</v>
      </c>
      <c r="K38" s="3">
        <f t="shared" si="21"/>
        <v>3</v>
      </c>
      <c r="L38" s="3" t="str">
        <f t="shared" si="12"/>
        <v>56, 126, 242</v>
      </c>
      <c r="M38" s="3" t="str">
        <f t="shared" si="13"/>
        <v>LUCIANO Serjao pg ,LUCIANO Serjao pg ,LUCIANO Serjao pg</v>
      </c>
      <c r="N38">
        <f t="shared" si="22"/>
        <v>0</v>
      </c>
      <c r="P38">
        <f t="shared" si="23"/>
        <v>56</v>
      </c>
      <c r="Q38" t="str">
        <f t="shared" si="18"/>
        <v>, 126</v>
      </c>
      <c r="R38" t="str">
        <f t="shared" si="18"/>
        <v>, 242</v>
      </c>
      <c r="S38" t="str">
        <f t="shared" si="18"/>
        <v/>
      </c>
      <c r="T38" t="str">
        <f t="shared" si="18"/>
        <v/>
      </c>
      <c r="U38" t="str">
        <f t="shared" si="18"/>
        <v/>
      </c>
      <c r="V38" t="str">
        <f t="shared" si="18"/>
        <v/>
      </c>
      <c r="Z38" t="str">
        <f t="shared" si="24"/>
        <v>LUCIANO Serjao pg</v>
      </c>
      <c r="AA38" t="str">
        <f t="shared" si="19"/>
        <v xml:space="preserve"> ,LUCIANO Serjao pg</v>
      </c>
      <c r="AB38" t="str">
        <f t="shared" si="19"/>
        <v xml:space="preserve"> ,LUCIANO Serjao pg</v>
      </c>
      <c r="AC38" t="str">
        <f t="shared" si="19"/>
        <v/>
      </c>
      <c r="AD38" t="str">
        <f t="shared" si="19"/>
        <v/>
      </c>
      <c r="AE38" t="str">
        <f t="shared" si="19"/>
        <v/>
      </c>
      <c r="AF38" t="str">
        <f t="shared" si="19"/>
        <v/>
      </c>
      <c r="AV38">
        <v>37</v>
      </c>
      <c r="AW38" t="s">
        <v>32</v>
      </c>
      <c r="BM38">
        <v>37</v>
      </c>
      <c r="BN38" t="s">
        <v>32</v>
      </c>
      <c r="BO38" t="str">
        <f t="shared" si="9"/>
        <v>MARTINS</v>
      </c>
      <c r="BP38" t="b">
        <f t="shared" si="25"/>
        <v>1</v>
      </c>
    </row>
    <row r="39" spans="1:68">
      <c r="A39">
        <v>38</v>
      </c>
      <c r="E39">
        <f>COUNTIF($C$1:C39,C39)</f>
        <v>0</v>
      </c>
      <c r="F39" t="str">
        <f t="shared" si="0"/>
        <v>0</v>
      </c>
      <c r="G39">
        <f t="shared" si="1"/>
        <v>0</v>
      </c>
      <c r="H39">
        <f t="shared" si="11"/>
        <v>0</v>
      </c>
      <c r="I39" s="4">
        <v>2032570853</v>
      </c>
      <c r="J39" s="5">
        <f t="shared" si="20"/>
        <v>1</v>
      </c>
      <c r="K39" s="5">
        <f t="shared" si="21"/>
        <v>0</v>
      </c>
      <c r="L39" s="5" t="str">
        <f t="shared" si="12"/>
        <v>58</v>
      </c>
      <c r="M39" s="5" t="str">
        <f t="shared" si="13"/>
        <v>MAZIM amigo cidmar</v>
      </c>
      <c r="N39">
        <f t="shared" si="22"/>
        <v>1</v>
      </c>
      <c r="P39">
        <f t="shared" si="23"/>
        <v>58</v>
      </c>
      <c r="Q39" t="str">
        <f t="shared" si="18"/>
        <v/>
      </c>
      <c r="R39" t="str">
        <f t="shared" si="18"/>
        <v/>
      </c>
      <c r="S39" t="str">
        <f t="shared" si="18"/>
        <v/>
      </c>
      <c r="T39" t="str">
        <f t="shared" si="18"/>
        <v/>
      </c>
      <c r="U39" t="str">
        <f t="shared" si="18"/>
        <v/>
      </c>
      <c r="V39" t="str">
        <f t="shared" si="18"/>
        <v/>
      </c>
      <c r="Z39" t="str">
        <f t="shared" si="24"/>
        <v>MAZIM amigo cidmar</v>
      </c>
      <c r="AA39" t="str">
        <f t="shared" si="19"/>
        <v/>
      </c>
      <c r="AB39" t="str">
        <f t="shared" si="19"/>
        <v/>
      </c>
      <c r="AC39" t="str">
        <f t="shared" si="19"/>
        <v/>
      </c>
      <c r="AD39" t="str">
        <f t="shared" si="19"/>
        <v/>
      </c>
      <c r="AE39" t="str">
        <f t="shared" si="19"/>
        <v/>
      </c>
      <c r="AF39" t="str">
        <f t="shared" si="19"/>
        <v/>
      </c>
      <c r="AV39">
        <v>38</v>
      </c>
      <c r="AW39" t="s">
        <v>22</v>
      </c>
      <c r="BM39">
        <v>38</v>
      </c>
      <c r="BN39" t="s">
        <v>22</v>
      </c>
      <c r="BO39">
        <f t="shared" si="9"/>
        <v>0</v>
      </c>
      <c r="BP39" t="b">
        <f t="shared" si="25"/>
        <v>0</v>
      </c>
    </row>
    <row r="40" spans="1:68">
      <c r="A40">
        <v>39</v>
      </c>
      <c r="B40" t="s">
        <v>33</v>
      </c>
      <c r="C40" s="1">
        <v>2038566452</v>
      </c>
      <c r="D40" t="s">
        <v>280</v>
      </c>
      <c r="E40">
        <f>COUNTIF($C$1:C40,C40)</f>
        <v>1</v>
      </c>
      <c r="F40" t="str">
        <f t="shared" si="0"/>
        <v>20385664521</v>
      </c>
      <c r="G40">
        <f t="shared" si="1"/>
        <v>0</v>
      </c>
      <c r="H40">
        <f t="shared" si="11"/>
        <v>0</v>
      </c>
      <c r="I40" s="2">
        <v>2038583797</v>
      </c>
      <c r="J40" s="3">
        <f t="shared" si="20"/>
        <v>1</v>
      </c>
      <c r="K40" s="3">
        <f t="shared" si="21"/>
        <v>0</v>
      </c>
      <c r="L40" s="3" t="str">
        <f t="shared" si="12"/>
        <v>59</v>
      </c>
      <c r="M40" s="3" t="str">
        <f t="shared" si="13"/>
        <v>ALMIR COSTA</v>
      </c>
      <c r="N40">
        <f t="shared" si="22"/>
        <v>1</v>
      </c>
      <c r="P40">
        <f t="shared" si="23"/>
        <v>59</v>
      </c>
      <c r="Q40" t="str">
        <f t="shared" si="18"/>
        <v/>
      </c>
      <c r="R40" t="str">
        <f t="shared" si="18"/>
        <v/>
      </c>
      <c r="S40" t="str">
        <f t="shared" si="18"/>
        <v/>
      </c>
      <c r="T40" t="str">
        <f t="shared" si="18"/>
        <v/>
      </c>
      <c r="U40" t="str">
        <f t="shared" si="18"/>
        <v/>
      </c>
      <c r="V40" t="str">
        <f t="shared" si="18"/>
        <v/>
      </c>
      <c r="Z40" t="str">
        <f t="shared" si="24"/>
        <v>ALMIR COSTA</v>
      </c>
      <c r="AA40" t="str">
        <f t="shared" si="19"/>
        <v/>
      </c>
      <c r="AB40" t="str">
        <f t="shared" si="19"/>
        <v/>
      </c>
      <c r="AC40" t="str">
        <f t="shared" si="19"/>
        <v/>
      </c>
      <c r="AD40" t="str">
        <f t="shared" si="19"/>
        <v/>
      </c>
      <c r="AE40" t="str">
        <f t="shared" si="19"/>
        <v/>
      </c>
      <c r="AF40" t="str">
        <f t="shared" si="19"/>
        <v/>
      </c>
      <c r="AV40">
        <v>39</v>
      </c>
      <c r="AW40" t="s">
        <v>33</v>
      </c>
      <c r="BM40">
        <v>39</v>
      </c>
      <c r="BN40" t="s">
        <v>33</v>
      </c>
      <c r="BO40" t="str">
        <f t="shared" si="9"/>
        <v>SANZIO</v>
      </c>
      <c r="BP40" t="b">
        <f t="shared" si="25"/>
        <v>1</v>
      </c>
    </row>
    <row r="41" spans="1:68">
      <c r="A41">
        <v>40</v>
      </c>
      <c r="B41" t="s">
        <v>34</v>
      </c>
      <c r="C41" s="1">
        <v>2033606365</v>
      </c>
      <c r="D41" t="s">
        <v>280</v>
      </c>
      <c r="E41">
        <f>COUNTIF($C$1:C41,C41)</f>
        <v>1</v>
      </c>
      <c r="F41" t="str">
        <f t="shared" si="0"/>
        <v>20336063651</v>
      </c>
      <c r="G41">
        <f t="shared" si="1"/>
        <v>0</v>
      </c>
      <c r="H41">
        <f t="shared" si="11"/>
        <v>0</v>
      </c>
      <c r="I41" s="4">
        <v>2036105893</v>
      </c>
      <c r="J41" s="5">
        <f t="shared" si="20"/>
        <v>3</v>
      </c>
      <c r="K41" s="5">
        <f t="shared" si="21"/>
        <v>0</v>
      </c>
      <c r="L41" s="5" t="str">
        <f t="shared" si="12"/>
        <v>61, 169, 450</v>
      </c>
      <c r="M41" s="5" t="str">
        <f t="shared" si="13"/>
        <v>BRYAN DA SILVA /vagner ,WAGNER DA SILVA ,DAVID DA SILVA</v>
      </c>
      <c r="N41">
        <f t="shared" si="22"/>
        <v>3</v>
      </c>
      <c r="P41">
        <f t="shared" si="23"/>
        <v>61</v>
      </c>
      <c r="Q41" t="str">
        <f t="shared" si="18"/>
        <v>, 169</v>
      </c>
      <c r="R41" t="str">
        <f t="shared" si="18"/>
        <v>, 450</v>
      </c>
      <c r="S41" t="str">
        <f t="shared" si="18"/>
        <v/>
      </c>
      <c r="T41" t="str">
        <f t="shared" si="18"/>
        <v/>
      </c>
      <c r="U41" t="str">
        <f t="shared" si="18"/>
        <v/>
      </c>
      <c r="V41" t="str">
        <f t="shared" si="18"/>
        <v/>
      </c>
      <c r="Z41" t="str">
        <f t="shared" si="24"/>
        <v>BRYAN DA SILVA /vagner</v>
      </c>
      <c r="AA41" t="str">
        <f t="shared" si="19"/>
        <v xml:space="preserve"> ,WAGNER DA SILVA</v>
      </c>
      <c r="AB41" t="str">
        <f t="shared" si="19"/>
        <v xml:space="preserve"> ,DAVID DA SILVA</v>
      </c>
      <c r="AC41" t="str">
        <f t="shared" si="19"/>
        <v/>
      </c>
      <c r="AD41" t="str">
        <f t="shared" si="19"/>
        <v/>
      </c>
      <c r="AE41" t="str">
        <f t="shared" si="19"/>
        <v/>
      </c>
      <c r="AF41" t="str">
        <f t="shared" si="19"/>
        <v/>
      </c>
      <c r="AV41">
        <v>40</v>
      </c>
      <c r="AW41" t="s">
        <v>34</v>
      </c>
      <c r="BM41">
        <v>40</v>
      </c>
      <c r="BN41" t="s">
        <v>34</v>
      </c>
      <c r="BO41" t="str">
        <f t="shared" si="9"/>
        <v>MARCELAO</v>
      </c>
      <c r="BP41" t="b">
        <f t="shared" si="25"/>
        <v>1</v>
      </c>
    </row>
    <row r="42" spans="1:68">
      <c r="A42">
        <v>41</v>
      </c>
      <c r="B42" t="s">
        <v>35</v>
      </c>
      <c r="C42" s="1">
        <v>4753621811</v>
      </c>
      <c r="D42" t="s">
        <v>280</v>
      </c>
      <c r="E42">
        <f>COUNTIF($C$1:C42,C42)</f>
        <v>1</v>
      </c>
      <c r="F42" t="str">
        <f t="shared" si="0"/>
        <v>47536218111</v>
      </c>
      <c r="G42">
        <f t="shared" si="1"/>
        <v>0</v>
      </c>
      <c r="H42">
        <f t="shared" si="11"/>
        <v>0</v>
      </c>
      <c r="I42" s="2">
        <v>9147602272</v>
      </c>
      <c r="J42" s="3">
        <f t="shared" si="20"/>
        <v>7</v>
      </c>
      <c r="K42" s="3">
        <f t="shared" si="21"/>
        <v>3</v>
      </c>
      <c r="L42" s="3" t="str">
        <f t="shared" si="12"/>
        <v>63, 64, 121, 128, 259, 379, 406</v>
      </c>
      <c r="M42" s="3" t="str">
        <f t="shared" si="13"/>
        <v>DALTON pg ,DALTON pg ,DALTON pg ,DALTON ,Rafael Melo (Dalton) ,DALNTON ,Rafael Melo (Dalton)</v>
      </c>
      <c r="N42">
        <f t="shared" si="22"/>
        <v>4</v>
      </c>
      <c r="P42">
        <f t="shared" si="23"/>
        <v>63</v>
      </c>
      <c r="Q42" t="str">
        <f t="shared" ref="Q42:V51" si="26">IFERROR(", "&amp;INDEX($A$2:$A$501,MATCH($I42&amp;Q$1,$F$2:$F$501,0)),"")</f>
        <v>, 64</v>
      </c>
      <c r="R42" t="str">
        <f t="shared" si="26"/>
        <v>, 121</v>
      </c>
      <c r="S42" t="str">
        <f t="shared" si="26"/>
        <v>, 128</v>
      </c>
      <c r="T42" t="str">
        <f t="shared" si="26"/>
        <v>, 259</v>
      </c>
      <c r="U42" t="str">
        <f t="shared" si="26"/>
        <v>, 379</v>
      </c>
      <c r="V42" t="str">
        <f t="shared" si="26"/>
        <v>, 406</v>
      </c>
      <c r="Z42" t="str">
        <f t="shared" si="24"/>
        <v>DALTON pg</v>
      </c>
      <c r="AA42" t="str">
        <f t="shared" ref="AA42:AF51" si="27">IFERROR(" ,"&amp;INDEX($B$2:$B$501,MATCH($I42&amp;AA$1,$F$2:$F$501,0)),"")</f>
        <v xml:space="preserve"> ,DALTON pg</v>
      </c>
      <c r="AB42" t="str">
        <f t="shared" si="27"/>
        <v xml:space="preserve"> ,DALTON pg</v>
      </c>
      <c r="AC42" t="str">
        <f t="shared" si="27"/>
        <v xml:space="preserve"> ,DALTON</v>
      </c>
      <c r="AD42" t="str">
        <f t="shared" si="27"/>
        <v xml:space="preserve"> ,Rafael Melo (Dalton)</v>
      </c>
      <c r="AE42" t="str">
        <f t="shared" si="27"/>
        <v xml:space="preserve"> ,DALNTON</v>
      </c>
      <c r="AF42" t="str">
        <f t="shared" si="27"/>
        <v xml:space="preserve"> ,Rafael Melo (Dalton)</v>
      </c>
      <c r="AV42">
        <v>41</v>
      </c>
      <c r="AW42" t="s">
        <v>35</v>
      </c>
      <c r="BM42">
        <v>41</v>
      </c>
      <c r="BN42" t="s">
        <v>35</v>
      </c>
      <c r="BO42" t="str">
        <f t="shared" si="9"/>
        <v>SIMONE</v>
      </c>
      <c r="BP42" t="b">
        <f t="shared" si="25"/>
        <v>1</v>
      </c>
    </row>
    <row r="43" spans="1:68">
      <c r="A43">
        <v>42</v>
      </c>
      <c r="B43" t="s">
        <v>36</v>
      </c>
      <c r="C43" s="1">
        <v>4759884337</v>
      </c>
      <c r="D43" t="s">
        <v>280</v>
      </c>
      <c r="E43">
        <f>COUNTIF($C$1:C43,C43)</f>
        <v>1</v>
      </c>
      <c r="F43" t="str">
        <f t="shared" si="0"/>
        <v>47598843371</v>
      </c>
      <c r="G43">
        <f t="shared" si="1"/>
        <v>0</v>
      </c>
      <c r="H43">
        <f t="shared" si="11"/>
        <v>0</v>
      </c>
      <c r="I43" s="4">
        <v>6178661781</v>
      </c>
      <c r="J43" s="5">
        <f t="shared" si="20"/>
        <v>2</v>
      </c>
      <c r="K43" s="5">
        <f t="shared" si="21"/>
        <v>0</v>
      </c>
      <c r="L43" s="5" t="str">
        <f t="shared" si="12"/>
        <v>66, 68</v>
      </c>
      <c r="M43" s="5" t="str">
        <f t="shared" si="13"/>
        <v>DANILO AMARAL ,DANILO AMARAL</v>
      </c>
      <c r="N43">
        <f t="shared" si="22"/>
        <v>2</v>
      </c>
      <c r="P43">
        <f t="shared" si="23"/>
        <v>66</v>
      </c>
      <c r="Q43" t="str">
        <f t="shared" si="26"/>
        <v>, 68</v>
      </c>
      <c r="R43" t="str">
        <f t="shared" si="26"/>
        <v/>
      </c>
      <c r="S43" t="str">
        <f t="shared" si="26"/>
        <v/>
      </c>
      <c r="T43" t="str">
        <f t="shared" si="26"/>
        <v/>
      </c>
      <c r="U43" t="str">
        <f t="shared" si="26"/>
        <v/>
      </c>
      <c r="V43" t="str">
        <f t="shared" si="26"/>
        <v/>
      </c>
      <c r="Z43" t="str">
        <f t="shared" si="24"/>
        <v>DANILO AMARAL</v>
      </c>
      <c r="AA43" t="str">
        <f t="shared" si="27"/>
        <v xml:space="preserve"> ,DANILO AMARAL</v>
      </c>
      <c r="AB43" t="str">
        <f t="shared" si="27"/>
        <v/>
      </c>
      <c r="AC43" t="str">
        <f t="shared" si="27"/>
        <v/>
      </c>
      <c r="AD43" t="str">
        <f t="shared" si="27"/>
        <v/>
      </c>
      <c r="AE43" t="str">
        <f t="shared" si="27"/>
        <v/>
      </c>
      <c r="AF43" t="str">
        <f t="shared" si="27"/>
        <v/>
      </c>
      <c r="AV43">
        <v>42</v>
      </c>
      <c r="AW43" t="s">
        <v>36</v>
      </c>
      <c r="BM43">
        <v>42</v>
      </c>
      <c r="BN43" t="s">
        <v>36</v>
      </c>
      <c r="BO43" t="str">
        <f t="shared" si="9"/>
        <v>ALESSANDRO BARBOSA (LEO BAIA)</v>
      </c>
      <c r="BP43" t="b">
        <f t="shared" si="25"/>
        <v>1</v>
      </c>
    </row>
    <row r="44" spans="1:68">
      <c r="A44">
        <v>43</v>
      </c>
      <c r="B44" t="s">
        <v>37</v>
      </c>
      <c r="C44" s="1">
        <v>5511992712403</v>
      </c>
      <c r="D44" t="s">
        <v>280</v>
      </c>
      <c r="E44">
        <f>COUNTIF($C$1:C44,C44)</f>
        <v>1</v>
      </c>
      <c r="F44" t="str">
        <f t="shared" si="0"/>
        <v>55119927124031</v>
      </c>
      <c r="G44">
        <f t="shared" si="1"/>
        <v>0</v>
      </c>
      <c r="H44">
        <f t="shared" si="11"/>
        <v>0</v>
      </c>
      <c r="I44" s="2">
        <v>9144003667</v>
      </c>
      <c r="J44" s="3">
        <f t="shared" si="20"/>
        <v>2</v>
      </c>
      <c r="K44" s="3">
        <f t="shared" si="21"/>
        <v>0</v>
      </c>
      <c r="L44" s="3" t="str">
        <f t="shared" si="12"/>
        <v>73, 205</v>
      </c>
      <c r="M44" s="3" t="str">
        <f t="shared" si="13"/>
        <v>ANDERSON JEFERSON ,ANDERSON JEFERSON</v>
      </c>
      <c r="N44">
        <f t="shared" si="22"/>
        <v>2</v>
      </c>
      <c r="P44">
        <f t="shared" si="23"/>
        <v>73</v>
      </c>
      <c r="Q44" t="str">
        <f t="shared" si="26"/>
        <v>, 205</v>
      </c>
      <c r="R44" t="str">
        <f t="shared" si="26"/>
        <v/>
      </c>
      <c r="S44" t="str">
        <f t="shared" si="26"/>
        <v/>
      </c>
      <c r="T44" t="str">
        <f t="shared" si="26"/>
        <v/>
      </c>
      <c r="U44" t="str">
        <f t="shared" si="26"/>
        <v/>
      </c>
      <c r="V44" t="str">
        <f t="shared" si="26"/>
        <v/>
      </c>
      <c r="Z44" t="str">
        <f t="shared" si="24"/>
        <v>ANDERSON JEFERSON</v>
      </c>
      <c r="AA44" t="str">
        <f t="shared" si="27"/>
        <v xml:space="preserve"> ,ANDERSON JEFERSON</v>
      </c>
      <c r="AB44" t="str">
        <f t="shared" si="27"/>
        <v/>
      </c>
      <c r="AC44" t="str">
        <f t="shared" si="27"/>
        <v/>
      </c>
      <c r="AD44" t="str">
        <f t="shared" si="27"/>
        <v/>
      </c>
      <c r="AE44" t="str">
        <f t="shared" si="27"/>
        <v/>
      </c>
      <c r="AF44" t="str">
        <f t="shared" si="27"/>
        <v/>
      </c>
      <c r="AV44">
        <v>43</v>
      </c>
      <c r="AW44" t="s">
        <v>37</v>
      </c>
      <c r="BM44">
        <v>43</v>
      </c>
      <c r="BN44" t="s">
        <v>37</v>
      </c>
      <c r="BO44" t="str">
        <f t="shared" si="9"/>
        <v>IGOR</v>
      </c>
      <c r="BP44" t="b">
        <f t="shared" si="25"/>
        <v>1</v>
      </c>
    </row>
    <row r="45" spans="1:68">
      <c r="A45">
        <v>44</v>
      </c>
      <c r="B45" t="s">
        <v>38</v>
      </c>
      <c r="C45" s="1">
        <v>2033607352</v>
      </c>
      <c r="D45" t="s">
        <v>280</v>
      </c>
      <c r="E45">
        <f>COUNTIF($C$1:C45,C45)</f>
        <v>2</v>
      </c>
      <c r="F45" t="str">
        <f t="shared" si="0"/>
        <v>20336073522</v>
      </c>
      <c r="G45">
        <f t="shared" si="1"/>
        <v>0</v>
      </c>
      <c r="H45">
        <f t="shared" si="11"/>
        <v>0</v>
      </c>
      <c r="I45" s="4">
        <v>2036006922</v>
      </c>
      <c r="J45" s="5">
        <f t="shared" si="20"/>
        <v>1</v>
      </c>
      <c r="K45" s="5">
        <f t="shared" si="21"/>
        <v>0</v>
      </c>
      <c r="L45" s="5" t="str">
        <f t="shared" si="12"/>
        <v>75</v>
      </c>
      <c r="M45" s="5" t="str">
        <f t="shared" si="13"/>
        <v>CIRIS FERREIRA</v>
      </c>
      <c r="N45">
        <f t="shared" si="22"/>
        <v>1</v>
      </c>
      <c r="P45">
        <f t="shared" si="23"/>
        <v>75</v>
      </c>
      <c r="Q45" t="str">
        <f t="shared" si="26"/>
        <v/>
      </c>
      <c r="R45" t="str">
        <f t="shared" si="26"/>
        <v/>
      </c>
      <c r="S45" t="str">
        <f t="shared" si="26"/>
        <v/>
      </c>
      <c r="T45" t="str">
        <f t="shared" si="26"/>
        <v/>
      </c>
      <c r="U45" t="str">
        <f t="shared" si="26"/>
        <v/>
      </c>
      <c r="V45" t="str">
        <f t="shared" si="26"/>
        <v/>
      </c>
      <c r="Z45" t="str">
        <f t="shared" si="24"/>
        <v>CIRIS FERREIRA</v>
      </c>
      <c r="AA45" t="str">
        <f t="shared" si="27"/>
        <v/>
      </c>
      <c r="AB45" t="str">
        <f t="shared" si="27"/>
        <v/>
      </c>
      <c r="AC45" t="str">
        <f t="shared" si="27"/>
        <v/>
      </c>
      <c r="AD45" t="str">
        <f t="shared" si="27"/>
        <v/>
      </c>
      <c r="AE45" t="str">
        <f t="shared" si="27"/>
        <v/>
      </c>
      <c r="AF45" t="str">
        <f t="shared" si="27"/>
        <v/>
      </c>
      <c r="AV45">
        <v>44</v>
      </c>
      <c r="AW45" t="s">
        <v>38</v>
      </c>
      <c r="BM45">
        <v>44</v>
      </c>
      <c r="BN45" t="s">
        <v>38</v>
      </c>
      <c r="BO45" t="str">
        <f t="shared" si="9"/>
        <v>CRISTIANO</v>
      </c>
      <c r="BP45" t="b">
        <f t="shared" si="25"/>
        <v>1</v>
      </c>
    </row>
    <row r="46" spans="1:68">
      <c r="A46">
        <v>45</v>
      </c>
      <c r="B46" t="s">
        <v>23</v>
      </c>
      <c r="C46" s="1">
        <v>2039943998</v>
      </c>
      <c r="D46" t="s">
        <v>280</v>
      </c>
      <c r="E46">
        <f>COUNTIF($C$1:C46,C46)</f>
        <v>2</v>
      </c>
      <c r="F46" t="str">
        <f t="shared" si="0"/>
        <v>20399439982</v>
      </c>
      <c r="G46">
        <f t="shared" si="1"/>
        <v>0</v>
      </c>
      <c r="H46">
        <f t="shared" si="11"/>
        <v>0</v>
      </c>
      <c r="I46" s="2">
        <v>2035719888</v>
      </c>
      <c r="J46" s="3">
        <f t="shared" si="20"/>
        <v>2</v>
      </c>
      <c r="K46" s="3">
        <f t="shared" si="21"/>
        <v>0</v>
      </c>
      <c r="L46" s="3" t="str">
        <f t="shared" si="12"/>
        <v>76, 98</v>
      </c>
      <c r="M46" s="3" t="str">
        <f t="shared" si="13"/>
        <v>FRANCISCO SOUZA ,FRANCISCO SOUZA</v>
      </c>
      <c r="N46">
        <f t="shared" si="22"/>
        <v>2</v>
      </c>
      <c r="P46">
        <f t="shared" si="23"/>
        <v>76</v>
      </c>
      <c r="Q46" t="str">
        <f t="shared" si="26"/>
        <v>, 98</v>
      </c>
      <c r="R46" t="str">
        <f t="shared" si="26"/>
        <v/>
      </c>
      <c r="S46" t="str">
        <f t="shared" si="26"/>
        <v/>
      </c>
      <c r="T46" t="str">
        <f t="shared" si="26"/>
        <v/>
      </c>
      <c r="U46" t="str">
        <f t="shared" si="26"/>
        <v/>
      </c>
      <c r="V46" t="str">
        <f t="shared" si="26"/>
        <v/>
      </c>
      <c r="Z46" t="str">
        <f t="shared" si="24"/>
        <v>FRANCISCO SOUZA</v>
      </c>
      <c r="AA46" t="str">
        <f t="shared" si="27"/>
        <v xml:space="preserve"> ,FRANCISCO SOUZA</v>
      </c>
      <c r="AB46" t="str">
        <f t="shared" si="27"/>
        <v/>
      </c>
      <c r="AC46" t="str">
        <f t="shared" si="27"/>
        <v/>
      </c>
      <c r="AD46" t="str">
        <f t="shared" si="27"/>
        <v/>
      </c>
      <c r="AE46" t="str">
        <f t="shared" si="27"/>
        <v/>
      </c>
      <c r="AF46" t="str">
        <f t="shared" si="27"/>
        <v/>
      </c>
      <c r="AV46">
        <v>45</v>
      </c>
      <c r="AW46" t="s">
        <v>23</v>
      </c>
      <c r="BM46">
        <v>45</v>
      </c>
      <c r="BN46" t="s">
        <v>23</v>
      </c>
      <c r="BO46" t="str">
        <f t="shared" si="9"/>
        <v>FERNANDO XARA</v>
      </c>
      <c r="BP46" t="b">
        <f t="shared" si="25"/>
        <v>1</v>
      </c>
    </row>
    <row r="47" spans="1:68">
      <c r="A47">
        <v>46</v>
      </c>
      <c r="B47" t="s">
        <v>39</v>
      </c>
      <c r="C47" s="1">
        <v>2038185657</v>
      </c>
      <c r="D47" t="s">
        <v>280</v>
      </c>
      <c r="E47">
        <f>COUNTIF($C$1:C47,C47)</f>
        <v>1</v>
      </c>
      <c r="F47" t="str">
        <f t="shared" si="0"/>
        <v>20381856571</v>
      </c>
      <c r="G47">
        <f t="shared" si="1"/>
        <v>1</v>
      </c>
      <c r="H47">
        <f t="shared" si="11"/>
        <v>0</v>
      </c>
      <c r="I47" s="4">
        <v>2039819598</v>
      </c>
      <c r="J47" s="5">
        <f t="shared" si="20"/>
        <v>3</v>
      </c>
      <c r="K47" s="5">
        <f t="shared" si="21"/>
        <v>3</v>
      </c>
      <c r="L47" s="5" t="str">
        <f t="shared" si="12"/>
        <v>78, 168, 393</v>
      </c>
      <c r="M47" s="5" t="str">
        <f t="shared" si="13"/>
        <v>Rodrigo / Polly pg ,Rodrigo /polly pg ,Rodrigo / Polly (f)</v>
      </c>
      <c r="N47">
        <f t="shared" si="22"/>
        <v>0</v>
      </c>
      <c r="P47">
        <f t="shared" si="23"/>
        <v>78</v>
      </c>
      <c r="Q47" t="str">
        <f t="shared" si="26"/>
        <v>, 168</v>
      </c>
      <c r="R47" t="str">
        <f t="shared" si="26"/>
        <v>, 393</v>
      </c>
      <c r="S47" t="str">
        <f t="shared" si="26"/>
        <v/>
      </c>
      <c r="T47" t="str">
        <f t="shared" si="26"/>
        <v/>
      </c>
      <c r="U47" t="str">
        <f t="shared" si="26"/>
        <v/>
      </c>
      <c r="V47" t="str">
        <f t="shared" si="26"/>
        <v/>
      </c>
      <c r="Z47" t="str">
        <f t="shared" si="24"/>
        <v>Rodrigo / Polly pg</v>
      </c>
      <c r="AA47" t="str">
        <f t="shared" si="27"/>
        <v xml:space="preserve"> ,Rodrigo /polly pg</v>
      </c>
      <c r="AB47" t="str">
        <f t="shared" si="27"/>
        <v xml:space="preserve"> ,Rodrigo / Polly (f)</v>
      </c>
      <c r="AC47" t="str">
        <f t="shared" si="27"/>
        <v/>
      </c>
      <c r="AD47" t="str">
        <f t="shared" si="27"/>
        <v/>
      </c>
      <c r="AE47" t="str">
        <f t="shared" si="27"/>
        <v/>
      </c>
      <c r="AF47" t="str">
        <f t="shared" si="27"/>
        <v/>
      </c>
      <c r="AV47">
        <v>46</v>
      </c>
      <c r="AW47" t="s">
        <v>39</v>
      </c>
      <c r="BM47">
        <v>46</v>
      </c>
      <c r="BN47" t="s">
        <v>39</v>
      </c>
      <c r="BO47" t="str">
        <f t="shared" si="9"/>
        <v>JESSICA pg</v>
      </c>
      <c r="BP47" t="b">
        <f t="shared" si="25"/>
        <v>1</v>
      </c>
    </row>
    <row r="48" spans="1:68">
      <c r="A48">
        <v>47</v>
      </c>
      <c r="B48" t="s">
        <v>40</v>
      </c>
      <c r="C48" s="1">
        <v>2032122279</v>
      </c>
      <c r="D48" t="s">
        <v>280</v>
      </c>
      <c r="E48">
        <f>COUNTIF($C$1:C48,C48)</f>
        <v>1</v>
      </c>
      <c r="F48" t="str">
        <f t="shared" si="0"/>
        <v>20321222791</v>
      </c>
      <c r="G48">
        <f t="shared" si="1"/>
        <v>0</v>
      </c>
      <c r="H48">
        <f t="shared" si="11"/>
        <v>0</v>
      </c>
      <c r="I48" s="2">
        <v>5615309805</v>
      </c>
      <c r="J48" s="3">
        <f t="shared" si="20"/>
        <v>1</v>
      </c>
      <c r="K48" s="3">
        <f t="shared" si="21"/>
        <v>0</v>
      </c>
      <c r="L48" s="3" t="str">
        <f t="shared" si="12"/>
        <v>79</v>
      </c>
      <c r="M48" s="3" t="str">
        <f t="shared" si="13"/>
        <v>LUIS SERGIO</v>
      </c>
      <c r="N48">
        <f t="shared" si="22"/>
        <v>1</v>
      </c>
      <c r="P48">
        <f t="shared" si="23"/>
        <v>79</v>
      </c>
      <c r="Q48" t="str">
        <f t="shared" si="26"/>
        <v/>
      </c>
      <c r="R48" t="str">
        <f t="shared" si="26"/>
        <v/>
      </c>
      <c r="S48" t="str">
        <f t="shared" si="26"/>
        <v/>
      </c>
      <c r="T48" t="str">
        <f t="shared" si="26"/>
        <v/>
      </c>
      <c r="U48" t="str">
        <f t="shared" si="26"/>
        <v/>
      </c>
      <c r="V48" t="str">
        <f t="shared" si="26"/>
        <v/>
      </c>
      <c r="Z48" t="str">
        <f t="shared" si="24"/>
        <v>LUIS SERGIO</v>
      </c>
      <c r="AA48" t="str">
        <f t="shared" si="27"/>
        <v/>
      </c>
      <c r="AB48" t="str">
        <f t="shared" si="27"/>
        <v/>
      </c>
      <c r="AC48" t="str">
        <f t="shared" si="27"/>
        <v/>
      </c>
      <c r="AD48" t="str">
        <f t="shared" si="27"/>
        <v/>
      </c>
      <c r="AE48" t="str">
        <f t="shared" si="27"/>
        <v/>
      </c>
      <c r="AF48" t="str">
        <f t="shared" si="27"/>
        <v/>
      </c>
      <c r="AV48">
        <v>47</v>
      </c>
      <c r="AW48" t="s">
        <v>40</v>
      </c>
      <c r="BM48">
        <v>47</v>
      </c>
      <c r="BN48" t="s">
        <v>40</v>
      </c>
      <c r="BO48" t="str">
        <f t="shared" si="9"/>
        <v>JEREMIAS COSTA</v>
      </c>
      <c r="BP48" t="b">
        <f t="shared" si="25"/>
        <v>1</v>
      </c>
    </row>
    <row r="49" spans="1:68">
      <c r="A49">
        <v>48</v>
      </c>
      <c r="B49" t="s">
        <v>41</v>
      </c>
      <c r="C49" s="1">
        <v>2038148765</v>
      </c>
      <c r="D49" t="s">
        <v>280</v>
      </c>
      <c r="E49">
        <f>COUNTIF($C$1:C49,C49)</f>
        <v>1</v>
      </c>
      <c r="F49" t="str">
        <f t="shared" si="0"/>
        <v>20381487651</v>
      </c>
      <c r="G49">
        <f t="shared" si="1"/>
        <v>0</v>
      </c>
      <c r="H49">
        <f t="shared" si="11"/>
        <v>0</v>
      </c>
      <c r="I49" s="4">
        <v>3528902004</v>
      </c>
      <c r="J49" s="5">
        <f t="shared" si="20"/>
        <v>1</v>
      </c>
      <c r="K49" s="5">
        <f t="shared" si="21"/>
        <v>0</v>
      </c>
      <c r="L49" s="5" t="str">
        <f t="shared" si="12"/>
        <v>82</v>
      </c>
      <c r="M49" s="5" t="str">
        <f t="shared" si="13"/>
        <v>DEUSMAR</v>
      </c>
      <c r="N49">
        <f t="shared" si="22"/>
        <v>1</v>
      </c>
      <c r="P49">
        <f t="shared" si="23"/>
        <v>82</v>
      </c>
      <c r="Q49" t="str">
        <f t="shared" si="26"/>
        <v/>
      </c>
      <c r="R49" t="str">
        <f t="shared" si="26"/>
        <v/>
      </c>
      <c r="S49" t="str">
        <f t="shared" si="26"/>
        <v/>
      </c>
      <c r="T49" t="str">
        <f t="shared" si="26"/>
        <v/>
      </c>
      <c r="U49" t="str">
        <f t="shared" si="26"/>
        <v/>
      </c>
      <c r="V49" t="str">
        <f t="shared" si="26"/>
        <v/>
      </c>
      <c r="Z49" t="str">
        <f t="shared" si="24"/>
        <v>DEUSMAR</v>
      </c>
      <c r="AA49" t="str">
        <f t="shared" si="27"/>
        <v/>
      </c>
      <c r="AB49" t="str">
        <f t="shared" si="27"/>
        <v/>
      </c>
      <c r="AC49" t="str">
        <f t="shared" si="27"/>
        <v/>
      </c>
      <c r="AD49" t="str">
        <f t="shared" si="27"/>
        <v/>
      </c>
      <c r="AE49" t="str">
        <f t="shared" si="27"/>
        <v/>
      </c>
      <c r="AF49" t="str">
        <f t="shared" si="27"/>
        <v/>
      </c>
      <c r="AV49">
        <v>48</v>
      </c>
      <c r="AW49" t="s">
        <v>41</v>
      </c>
      <c r="BM49">
        <v>48</v>
      </c>
      <c r="BN49" t="s">
        <v>41</v>
      </c>
      <c r="BO49" t="str">
        <f t="shared" si="9"/>
        <v>MARCIO CARVALHO</v>
      </c>
      <c r="BP49" t="b">
        <f t="shared" si="25"/>
        <v>1</v>
      </c>
    </row>
    <row r="50" spans="1:68">
      <c r="A50">
        <v>49</v>
      </c>
      <c r="B50" t="s">
        <v>356</v>
      </c>
      <c r="C50" s="1">
        <v>2036679981</v>
      </c>
      <c r="D50" t="s">
        <v>280</v>
      </c>
      <c r="E50">
        <f>COUNTIF($C$1:C50,C50)</f>
        <v>1</v>
      </c>
      <c r="F50" t="str">
        <f t="shared" si="0"/>
        <v>20366799811</v>
      </c>
      <c r="G50">
        <f t="shared" si="1"/>
        <v>1</v>
      </c>
      <c r="H50">
        <f t="shared" si="11"/>
        <v>0</v>
      </c>
      <c r="I50" s="2">
        <v>9732826254</v>
      </c>
      <c r="J50" s="3">
        <f t="shared" si="20"/>
        <v>1</v>
      </c>
      <c r="K50" s="3">
        <f t="shared" si="21"/>
        <v>1</v>
      </c>
      <c r="L50" s="3" t="str">
        <f t="shared" si="12"/>
        <v>83</v>
      </c>
      <c r="M50" s="3" t="str">
        <f t="shared" si="13"/>
        <v>LEO OLEGARIO pg</v>
      </c>
      <c r="N50">
        <f t="shared" si="22"/>
        <v>0</v>
      </c>
      <c r="P50">
        <f t="shared" si="23"/>
        <v>83</v>
      </c>
      <c r="Q50" t="str">
        <f t="shared" si="26"/>
        <v/>
      </c>
      <c r="R50" t="str">
        <f t="shared" si="26"/>
        <v/>
      </c>
      <c r="S50" t="str">
        <f t="shared" si="26"/>
        <v/>
      </c>
      <c r="T50" t="str">
        <f t="shared" si="26"/>
        <v/>
      </c>
      <c r="U50" t="str">
        <f t="shared" si="26"/>
        <v/>
      </c>
      <c r="V50" t="str">
        <f t="shared" si="26"/>
        <v/>
      </c>
      <c r="Z50" t="str">
        <f t="shared" si="24"/>
        <v>LEO OLEGARIO pg</v>
      </c>
      <c r="AA50" t="str">
        <f t="shared" si="27"/>
        <v/>
      </c>
      <c r="AB50" t="str">
        <f t="shared" si="27"/>
        <v/>
      </c>
      <c r="AC50" t="str">
        <f t="shared" si="27"/>
        <v/>
      </c>
      <c r="AD50" t="str">
        <f t="shared" si="27"/>
        <v/>
      </c>
      <c r="AE50" t="str">
        <f t="shared" si="27"/>
        <v/>
      </c>
      <c r="AF50" t="str">
        <f t="shared" si="27"/>
        <v/>
      </c>
      <c r="AV50">
        <v>49</v>
      </c>
      <c r="AW50" t="s">
        <v>42</v>
      </c>
      <c r="BM50">
        <v>49</v>
      </c>
      <c r="BN50" t="s">
        <v>42</v>
      </c>
      <c r="BO50" t="str">
        <f t="shared" si="9"/>
        <v>RENE pg</v>
      </c>
      <c r="BP50" t="b">
        <f t="shared" si="25"/>
        <v>0</v>
      </c>
    </row>
    <row r="51" spans="1:68">
      <c r="A51">
        <v>50</v>
      </c>
      <c r="B51" t="s">
        <v>35</v>
      </c>
      <c r="C51" s="1">
        <v>4753621811</v>
      </c>
      <c r="D51" t="s">
        <v>280</v>
      </c>
      <c r="E51">
        <f>COUNTIF($C$1:C51,C51)</f>
        <v>2</v>
      </c>
      <c r="F51" t="str">
        <f t="shared" si="0"/>
        <v>47536218112</v>
      </c>
      <c r="G51">
        <f t="shared" si="1"/>
        <v>0</v>
      </c>
      <c r="H51">
        <f t="shared" si="11"/>
        <v>0</v>
      </c>
      <c r="I51" s="4">
        <v>5162442819</v>
      </c>
      <c r="J51" s="5">
        <f t="shared" si="20"/>
        <v>2</v>
      </c>
      <c r="K51" s="5">
        <f t="shared" si="21"/>
        <v>1</v>
      </c>
      <c r="L51" s="5" t="str">
        <f t="shared" si="12"/>
        <v>84, 217</v>
      </c>
      <c r="M51" s="5" t="str">
        <f t="shared" si="13"/>
        <v>Carlos de Paula (f) ,Carlos de Paula</v>
      </c>
      <c r="N51">
        <f t="shared" si="22"/>
        <v>1</v>
      </c>
      <c r="P51">
        <f t="shared" si="23"/>
        <v>84</v>
      </c>
      <c r="Q51" t="str">
        <f t="shared" si="26"/>
        <v>, 217</v>
      </c>
      <c r="R51" t="str">
        <f t="shared" si="26"/>
        <v/>
      </c>
      <c r="S51" t="str">
        <f t="shared" si="26"/>
        <v/>
      </c>
      <c r="T51" t="str">
        <f t="shared" si="26"/>
        <v/>
      </c>
      <c r="U51" t="str">
        <f t="shared" si="26"/>
        <v/>
      </c>
      <c r="V51" t="str">
        <f t="shared" si="26"/>
        <v/>
      </c>
      <c r="Z51" t="str">
        <f t="shared" si="24"/>
        <v>Carlos de Paula (f)</v>
      </c>
      <c r="AA51" t="str">
        <f t="shared" si="27"/>
        <v xml:space="preserve"> ,Carlos de Paula</v>
      </c>
      <c r="AB51" t="str">
        <f t="shared" si="27"/>
        <v/>
      </c>
      <c r="AC51" t="str">
        <f t="shared" si="27"/>
        <v/>
      </c>
      <c r="AD51" t="str">
        <f t="shared" si="27"/>
        <v/>
      </c>
      <c r="AE51" t="str">
        <f t="shared" si="27"/>
        <v/>
      </c>
      <c r="AF51" t="str">
        <f t="shared" si="27"/>
        <v/>
      </c>
      <c r="AV51">
        <v>50</v>
      </c>
      <c r="AW51" t="s">
        <v>35</v>
      </c>
      <c r="BM51">
        <v>50</v>
      </c>
      <c r="BN51" t="s">
        <v>35</v>
      </c>
      <c r="BO51" t="str">
        <f t="shared" si="9"/>
        <v>SIMONE</v>
      </c>
      <c r="BP51" t="b">
        <f t="shared" si="25"/>
        <v>1</v>
      </c>
    </row>
    <row r="52" spans="1:68">
      <c r="A52">
        <v>51</v>
      </c>
      <c r="B52" t="s">
        <v>12</v>
      </c>
      <c r="C52" s="1">
        <v>2039817839</v>
      </c>
      <c r="D52" t="s">
        <v>280</v>
      </c>
      <c r="E52">
        <f>COUNTIF($C$1:C52,C52)</f>
        <v>4</v>
      </c>
      <c r="F52" t="str">
        <f t="shared" si="0"/>
        <v>20398178394</v>
      </c>
      <c r="G52">
        <f t="shared" si="1"/>
        <v>0</v>
      </c>
      <c r="H52">
        <f t="shared" si="11"/>
        <v>0</v>
      </c>
      <c r="I52" s="2">
        <v>2035229574</v>
      </c>
      <c r="J52" s="3">
        <f t="shared" si="20"/>
        <v>5</v>
      </c>
      <c r="K52" s="3">
        <f t="shared" si="21"/>
        <v>0</v>
      </c>
      <c r="L52" s="3" t="str">
        <f t="shared" si="12"/>
        <v>85, 218, 219, 221, 285</v>
      </c>
      <c r="M52" s="3" t="str">
        <f t="shared" si="13"/>
        <v>DANIEL jet ,DANIEL jet ,DANIEL jet ,DANIEL jet ,DANIEL jet</v>
      </c>
      <c r="N52">
        <f t="shared" si="22"/>
        <v>5</v>
      </c>
      <c r="P52">
        <f t="shared" si="23"/>
        <v>85</v>
      </c>
      <c r="Q52" t="str">
        <f t="shared" ref="Q52:V61" si="28">IFERROR(", "&amp;INDEX($A$2:$A$501,MATCH($I52&amp;Q$1,$F$2:$F$501,0)),"")</f>
        <v>, 218</v>
      </c>
      <c r="R52" t="str">
        <f t="shared" si="28"/>
        <v>, 219</v>
      </c>
      <c r="S52" t="str">
        <f t="shared" si="28"/>
        <v>, 221</v>
      </c>
      <c r="T52" t="str">
        <f t="shared" si="28"/>
        <v>, 285</v>
      </c>
      <c r="U52" t="str">
        <f t="shared" si="28"/>
        <v/>
      </c>
      <c r="V52" t="str">
        <f t="shared" si="28"/>
        <v/>
      </c>
      <c r="Z52" t="str">
        <f t="shared" si="24"/>
        <v>DANIEL jet</v>
      </c>
      <c r="AA52" t="str">
        <f t="shared" ref="AA52:AF61" si="29">IFERROR(" ,"&amp;INDEX($B$2:$B$501,MATCH($I52&amp;AA$1,$F$2:$F$501,0)),"")</f>
        <v xml:space="preserve"> ,DANIEL jet</v>
      </c>
      <c r="AB52" t="str">
        <f t="shared" si="29"/>
        <v xml:space="preserve"> ,DANIEL jet</v>
      </c>
      <c r="AC52" t="str">
        <f t="shared" si="29"/>
        <v xml:space="preserve"> ,DANIEL jet</v>
      </c>
      <c r="AD52" t="str">
        <f t="shared" si="29"/>
        <v xml:space="preserve"> ,DANIEL jet</v>
      </c>
      <c r="AE52" t="str">
        <f t="shared" si="29"/>
        <v/>
      </c>
      <c r="AF52" t="str">
        <f t="shared" si="29"/>
        <v/>
      </c>
      <c r="AV52">
        <v>51</v>
      </c>
      <c r="AW52" t="s">
        <v>12</v>
      </c>
      <c r="BM52">
        <v>51</v>
      </c>
      <c r="BN52" t="s">
        <v>12</v>
      </c>
      <c r="BO52" t="str">
        <f t="shared" si="9"/>
        <v>FRANKLY</v>
      </c>
      <c r="BP52" t="b">
        <f t="shared" si="25"/>
        <v>1</v>
      </c>
    </row>
    <row r="53" spans="1:68">
      <c r="A53">
        <v>52</v>
      </c>
      <c r="B53" t="s">
        <v>32</v>
      </c>
      <c r="C53" s="1">
        <v>2039483635</v>
      </c>
      <c r="D53" t="s">
        <v>280</v>
      </c>
      <c r="E53">
        <f>COUNTIF($C$1:C53,C53)</f>
        <v>2</v>
      </c>
      <c r="F53" t="str">
        <f t="shared" si="0"/>
        <v>20394836352</v>
      </c>
      <c r="G53">
        <f t="shared" si="1"/>
        <v>0</v>
      </c>
      <c r="H53">
        <f t="shared" si="11"/>
        <v>0</v>
      </c>
      <c r="I53" s="4">
        <v>2036925867</v>
      </c>
      <c r="J53" s="5">
        <f t="shared" si="20"/>
        <v>1</v>
      </c>
      <c r="K53" s="5">
        <f t="shared" si="21"/>
        <v>0</v>
      </c>
      <c r="L53" s="5" t="str">
        <f t="shared" si="12"/>
        <v>86</v>
      </c>
      <c r="M53" s="5" t="str">
        <f t="shared" si="13"/>
        <v>ANDRE RAY</v>
      </c>
      <c r="N53">
        <f t="shared" si="22"/>
        <v>1</v>
      </c>
      <c r="P53">
        <f t="shared" si="23"/>
        <v>86</v>
      </c>
      <c r="Q53" t="str">
        <f t="shared" si="28"/>
        <v/>
      </c>
      <c r="R53" t="str">
        <f t="shared" si="28"/>
        <v/>
      </c>
      <c r="S53" t="str">
        <f t="shared" si="28"/>
        <v/>
      </c>
      <c r="T53" t="str">
        <f t="shared" si="28"/>
        <v/>
      </c>
      <c r="U53" t="str">
        <f t="shared" si="28"/>
        <v/>
      </c>
      <c r="V53" t="str">
        <f t="shared" si="28"/>
        <v/>
      </c>
      <c r="Z53" t="str">
        <f t="shared" si="24"/>
        <v>ANDRE RAY</v>
      </c>
      <c r="AA53" t="str">
        <f t="shared" si="29"/>
        <v/>
      </c>
      <c r="AB53" t="str">
        <f t="shared" si="29"/>
        <v/>
      </c>
      <c r="AC53" t="str">
        <f t="shared" si="29"/>
        <v/>
      </c>
      <c r="AD53" t="str">
        <f t="shared" si="29"/>
        <v/>
      </c>
      <c r="AE53" t="str">
        <f t="shared" si="29"/>
        <v/>
      </c>
      <c r="AF53" t="str">
        <f t="shared" si="29"/>
        <v/>
      </c>
      <c r="AV53">
        <v>52</v>
      </c>
      <c r="AW53" t="s">
        <v>32</v>
      </c>
      <c r="BM53">
        <v>52</v>
      </c>
      <c r="BN53" t="s">
        <v>32</v>
      </c>
      <c r="BO53" t="str">
        <f t="shared" si="9"/>
        <v>MARTINS</v>
      </c>
      <c r="BP53" t="b">
        <f t="shared" si="25"/>
        <v>1</v>
      </c>
    </row>
    <row r="54" spans="1:68">
      <c r="A54">
        <v>53</v>
      </c>
      <c r="B54" t="s">
        <v>43</v>
      </c>
      <c r="C54" s="1">
        <v>9144399667</v>
      </c>
      <c r="D54" t="s">
        <v>280</v>
      </c>
      <c r="E54">
        <f>COUNTIF($C$1:C54,C54)</f>
        <v>1</v>
      </c>
      <c r="F54" t="str">
        <f t="shared" si="0"/>
        <v>91443996671</v>
      </c>
      <c r="G54">
        <f t="shared" si="1"/>
        <v>1</v>
      </c>
      <c r="H54">
        <f t="shared" si="11"/>
        <v>0</v>
      </c>
      <c r="I54" s="2">
        <v>2035401836</v>
      </c>
      <c r="J54" s="3">
        <f t="shared" si="20"/>
        <v>1</v>
      </c>
      <c r="K54" s="3">
        <f t="shared" si="21"/>
        <v>1</v>
      </c>
      <c r="L54" s="3" t="str">
        <f t="shared" si="12"/>
        <v>87</v>
      </c>
      <c r="M54" s="3" t="str">
        <f t="shared" si="13"/>
        <v>Fabiano Alves pg</v>
      </c>
      <c r="N54">
        <f t="shared" si="22"/>
        <v>0</v>
      </c>
      <c r="P54">
        <f t="shared" si="23"/>
        <v>87</v>
      </c>
      <c r="Q54" t="str">
        <f t="shared" si="28"/>
        <v/>
      </c>
      <c r="R54" t="str">
        <f t="shared" si="28"/>
        <v/>
      </c>
      <c r="S54" t="str">
        <f t="shared" si="28"/>
        <v/>
      </c>
      <c r="T54" t="str">
        <f t="shared" si="28"/>
        <v/>
      </c>
      <c r="U54" t="str">
        <f t="shared" si="28"/>
        <v/>
      </c>
      <c r="V54" t="str">
        <f t="shared" si="28"/>
        <v/>
      </c>
      <c r="Z54" t="str">
        <f t="shared" si="24"/>
        <v>Fabiano Alves pg</v>
      </c>
      <c r="AA54" t="str">
        <f t="shared" si="29"/>
        <v/>
      </c>
      <c r="AB54" t="str">
        <f t="shared" si="29"/>
        <v/>
      </c>
      <c r="AC54" t="str">
        <f t="shared" si="29"/>
        <v/>
      </c>
      <c r="AD54" t="str">
        <f t="shared" si="29"/>
        <v/>
      </c>
      <c r="AE54" t="str">
        <f t="shared" si="29"/>
        <v/>
      </c>
      <c r="AF54" t="str">
        <f t="shared" si="29"/>
        <v/>
      </c>
      <c r="AV54">
        <v>53</v>
      </c>
      <c r="AW54" t="s">
        <v>43</v>
      </c>
      <c r="BM54">
        <v>53</v>
      </c>
      <c r="BN54" t="s">
        <v>43</v>
      </c>
      <c r="BO54" t="str">
        <f t="shared" si="9"/>
        <v>ALAN KARLA pg</v>
      </c>
      <c r="BP54" t="b">
        <f t="shared" si="25"/>
        <v>1</v>
      </c>
    </row>
    <row r="55" spans="1:68">
      <c r="A55">
        <v>54</v>
      </c>
      <c r="B55" t="s">
        <v>360</v>
      </c>
      <c r="C55" s="1">
        <v>2035158719</v>
      </c>
      <c r="D55" t="s">
        <v>280</v>
      </c>
      <c r="E55">
        <f>COUNTIF($C$1:C55,C55)</f>
        <v>2</v>
      </c>
      <c r="F55" t="str">
        <f t="shared" si="0"/>
        <v>20351587192</v>
      </c>
      <c r="G55">
        <f t="shared" si="1"/>
        <v>1</v>
      </c>
      <c r="H55">
        <f t="shared" si="11"/>
        <v>0</v>
      </c>
      <c r="I55" s="4">
        <v>9145656120</v>
      </c>
      <c r="J55" s="5">
        <f t="shared" si="20"/>
        <v>1</v>
      </c>
      <c r="K55" s="5">
        <f t="shared" si="21"/>
        <v>0</v>
      </c>
      <c r="L55" s="5" t="str">
        <f t="shared" si="12"/>
        <v>89</v>
      </c>
      <c r="M55" s="5" t="str">
        <f t="shared" si="13"/>
        <v>JOAO V CARDOSO</v>
      </c>
      <c r="N55">
        <f t="shared" si="22"/>
        <v>1</v>
      </c>
      <c r="P55">
        <f t="shared" si="23"/>
        <v>89</v>
      </c>
      <c r="Q55" t="str">
        <f t="shared" si="28"/>
        <v/>
      </c>
      <c r="R55" t="str">
        <f t="shared" si="28"/>
        <v/>
      </c>
      <c r="S55" t="str">
        <f t="shared" si="28"/>
        <v/>
      </c>
      <c r="T55" t="str">
        <f t="shared" si="28"/>
        <v/>
      </c>
      <c r="U55" t="str">
        <f t="shared" si="28"/>
        <v/>
      </c>
      <c r="V55" t="str">
        <f t="shared" si="28"/>
        <v/>
      </c>
      <c r="Z55" t="str">
        <f t="shared" si="24"/>
        <v>JOAO V CARDOSO</v>
      </c>
      <c r="AA55" t="str">
        <f t="shared" si="29"/>
        <v/>
      </c>
      <c r="AB55" t="str">
        <f t="shared" si="29"/>
        <v/>
      </c>
      <c r="AC55" t="str">
        <f t="shared" si="29"/>
        <v/>
      </c>
      <c r="AD55" t="str">
        <f t="shared" si="29"/>
        <v/>
      </c>
      <c r="AE55" t="str">
        <f t="shared" si="29"/>
        <v/>
      </c>
      <c r="AF55" t="str">
        <f t="shared" si="29"/>
        <v/>
      </c>
      <c r="AV55">
        <v>54</v>
      </c>
      <c r="AW55" t="s">
        <v>31</v>
      </c>
      <c r="BM55">
        <v>54</v>
      </c>
      <c r="BN55" t="s">
        <v>31</v>
      </c>
      <c r="BO55" t="str">
        <f t="shared" si="9"/>
        <v>ROGERINHO pg</v>
      </c>
      <c r="BP55" t="b">
        <f t="shared" si="25"/>
        <v>0</v>
      </c>
    </row>
    <row r="56" spans="1:68">
      <c r="A56">
        <v>55</v>
      </c>
      <c r="B56" t="s">
        <v>361</v>
      </c>
      <c r="C56" s="1">
        <v>2035158719</v>
      </c>
      <c r="D56" t="s">
        <v>283</v>
      </c>
      <c r="E56">
        <f>COUNTIF($C$1:C56,C56)</f>
        <v>3</v>
      </c>
      <c r="F56" t="str">
        <f t="shared" si="0"/>
        <v>20351587193</v>
      </c>
      <c r="G56">
        <f t="shared" si="1"/>
        <v>1</v>
      </c>
      <c r="H56">
        <f t="shared" si="11"/>
        <v>0</v>
      </c>
      <c r="I56" s="2">
        <v>2034285344</v>
      </c>
      <c r="J56" s="3">
        <f t="shared" si="20"/>
        <v>2</v>
      </c>
      <c r="K56" s="3">
        <f t="shared" si="21"/>
        <v>0</v>
      </c>
      <c r="L56" s="3" t="str">
        <f t="shared" si="12"/>
        <v>91, 181</v>
      </c>
      <c r="M56" s="3" t="str">
        <f t="shared" si="13"/>
        <v>BINHO ,BINHO</v>
      </c>
      <c r="N56">
        <f t="shared" si="22"/>
        <v>2</v>
      </c>
      <c r="P56">
        <f t="shared" si="23"/>
        <v>91</v>
      </c>
      <c r="Q56" t="str">
        <f t="shared" si="28"/>
        <v>, 181</v>
      </c>
      <c r="R56" t="str">
        <f t="shared" si="28"/>
        <v/>
      </c>
      <c r="S56" t="str">
        <f t="shared" si="28"/>
        <v/>
      </c>
      <c r="T56" t="str">
        <f t="shared" si="28"/>
        <v/>
      </c>
      <c r="U56" t="str">
        <f t="shared" si="28"/>
        <v/>
      </c>
      <c r="V56" t="str">
        <f t="shared" si="28"/>
        <v/>
      </c>
      <c r="Z56" t="str">
        <f t="shared" si="24"/>
        <v>BINHO</v>
      </c>
      <c r="AA56" t="str">
        <f t="shared" si="29"/>
        <v xml:space="preserve"> ,BINHO</v>
      </c>
      <c r="AB56" t="str">
        <f t="shared" si="29"/>
        <v/>
      </c>
      <c r="AC56" t="str">
        <f t="shared" si="29"/>
        <v/>
      </c>
      <c r="AD56" t="str">
        <f t="shared" si="29"/>
        <v/>
      </c>
      <c r="AE56" t="str">
        <f t="shared" si="29"/>
        <v/>
      </c>
      <c r="AF56" t="str">
        <f t="shared" si="29"/>
        <v/>
      </c>
      <c r="AV56">
        <v>55</v>
      </c>
      <c r="AW56" t="s">
        <v>44</v>
      </c>
      <c r="BM56">
        <v>55</v>
      </c>
      <c r="BN56" t="s">
        <v>44</v>
      </c>
      <c r="BO56" t="str">
        <f t="shared" si="9"/>
        <v>ARLON pg</v>
      </c>
      <c r="BP56" t="b">
        <f t="shared" si="25"/>
        <v>0</v>
      </c>
    </row>
    <row r="57" spans="1:68">
      <c r="A57">
        <v>56</v>
      </c>
      <c r="B57" t="s">
        <v>359</v>
      </c>
      <c r="C57" s="1">
        <v>2039237387</v>
      </c>
      <c r="D57" t="s">
        <v>280</v>
      </c>
      <c r="E57">
        <f>COUNTIF($C$1:C57,C57)</f>
        <v>1</v>
      </c>
      <c r="F57" t="str">
        <f t="shared" si="0"/>
        <v>20392373871</v>
      </c>
      <c r="G57">
        <f t="shared" si="1"/>
        <v>1</v>
      </c>
      <c r="H57">
        <f t="shared" si="11"/>
        <v>0</v>
      </c>
      <c r="I57" s="4">
        <v>2035239177</v>
      </c>
      <c r="J57" s="5">
        <f t="shared" si="20"/>
        <v>1</v>
      </c>
      <c r="K57" s="5">
        <f t="shared" si="21"/>
        <v>0</v>
      </c>
      <c r="L57" s="5" t="str">
        <f t="shared" si="12"/>
        <v>92</v>
      </c>
      <c r="M57" s="5" t="str">
        <f t="shared" si="13"/>
        <v>CHARLLIE</v>
      </c>
      <c r="N57">
        <f t="shared" si="22"/>
        <v>1</v>
      </c>
      <c r="P57">
        <f t="shared" si="23"/>
        <v>92</v>
      </c>
      <c r="Q57" t="str">
        <f t="shared" si="28"/>
        <v/>
      </c>
      <c r="R57" t="str">
        <f t="shared" si="28"/>
        <v/>
      </c>
      <c r="S57" t="str">
        <f t="shared" si="28"/>
        <v/>
      </c>
      <c r="T57" t="str">
        <f t="shared" si="28"/>
        <v/>
      </c>
      <c r="U57" t="str">
        <f t="shared" si="28"/>
        <v/>
      </c>
      <c r="V57" t="str">
        <f t="shared" si="28"/>
        <v/>
      </c>
      <c r="Z57" t="str">
        <f t="shared" si="24"/>
        <v>CHARLLIE</v>
      </c>
      <c r="AA57" t="str">
        <f t="shared" si="29"/>
        <v/>
      </c>
      <c r="AB57" t="str">
        <f t="shared" si="29"/>
        <v/>
      </c>
      <c r="AC57" t="str">
        <f t="shared" si="29"/>
        <v/>
      </c>
      <c r="AD57" t="str">
        <f t="shared" si="29"/>
        <v/>
      </c>
      <c r="AE57" t="str">
        <f t="shared" si="29"/>
        <v/>
      </c>
      <c r="AF57" t="str">
        <f t="shared" si="29"/>
        <v/>
      </c>
      <c r="AV57">
        <v>56</v>
      </c>
      <c r="AW57" t="s">
        <v>45</v>
      </c>
      <c r="BM57">
        <v>56</v>
      </c>
      <c r="BN57" t="s">
        <v>45</v>
      </c>
      <c r="BO57" t="str">
        <f t="shared" si="9"/>
        <v>LUCIANO Serjao pg</v>
      </c>
      <c r="BP57" t="b">
        <f t="shared" si="25"/>
        <v>0</v>
      </c>
    </row>
    <row r="58" spans="1:68">
      <c r="A58">
        <v>57</v>
      </c>
      <c r="B58" t="s">
        <v>46</v>
      </c>
      <c r="D58" t="s">
        <v>281</v>
      </c>
      <c r="E58">
        <f>COUNTIF($C$1:C58,C58)</f>
        <v>0</v>
      </c>
      <c r="F58" t="str">
        <f t="shared" si="0"/>
        <v>0</v>
      </c>
      <c r="G58">
        <f t="shared" si="1"/>
        <v>0</v>
      </c>
      <c r="H58">
        <f t="shared" si="11"/>
        <v>0</v>
      </c>
      <c r="I58" s="2">
        <v>9144839842</v>
      </c>
      <c r="J58" s="3">
        <f t="shared" si="20"/>
        <v>2</v>
      </c>
      <c r="K58" s="3">
        <f t="shared" si="21"/>
        <v>0</v>
      </c>
      <c r="L58" s="3" t="str">
        <f t="shared" si="12"/>
        <v>93, 424</v>
      </c>
      <c r="M58" s="3" t="str">
        <f t="shared" si="13"/>
        <v xml:space="preserve">Joe (Juca) Guimaraes  ,Joe (Juca) Guimaraes </v>
      </c>
      <c r="N58">
        <f t="shared" si="22"/>
        <v>2</v>
      </c>
      <c r="P58">
        <f t="shared" si="23"/>
        <v>93</v>
      </c>
      <c r="Q58" t="str">
        <f t="shared" si="28"/>
        <v>, 424</v>
      </c>
      <c r="R58" t="str">
        <f t="shared" si="28"/>
        <v/>
      </c>
      <c r="S58" t="str">
        <f t="shared" si="28"/>
        <v/>
      </c>
      <c r="T58" t="str">
        <f t="shared" si="28"/>
        <v/>
      </c>
      <c r="U58" t="str">
        <f t="shared" si="28"/>
        <v/>
      </c>
      <c r="V58" t="str">
        <f t="shared" si="28"/>
        <v/>
      </c>
      <c r="Z58" t="str">
        <f t="shared" si="24"/>
        <v xml:space="preserve">Joe (Juca) Guimaraes </v>
      </c>
      <c r="AA58" t="str">
        <f t="shared" si="29"/>
        <v xml:space="preserve"> ,Joe (Juca) Guimaraes </v>
      </c>
      <c r="AB58" t="str">
        <f t="shared" si="29"/>
        <v/>
      </c>
      <c r="AC58" t="str">
        <f t="shared" si="29"/>
        <v/>
      </c>
      <c r="AD58" t="str">
        <f t="shared" si="29"/>
        <v/>
      </c>
      <c r="AE58" t="str">
        <f t="shared" si="29"/>
        <v/>
      </c>
      <c r="AF58" t="str">
        <f t="shared" si="29"/>
        <v/>
      </c>
      <c r="AV58">
        <v>57</v>
      </c>
      <c r="AW58" t="s">
        <v>46</v>
      </c>
      <c r="BM58">
        <v>57</v>
      </c>
      <c r="BN58" t="s">
        <v>46</v>
      </c>
      <c r="BO58" t="str">
        <f t="shared" si="9"/>
        <v>MIGUEL ARAUJO</v>
      </c>
      <c r="BP58" t="b">
        <f t="shared" si="25"/>
        <v>1</v>
      </c>
    </row>
    <row r="59" spans="1:68">
      <c r="A59">
        <v>58</v>
      </c>
      <c r="B59" t="s">
        <v>47</v>
      </c>
      <c r="C59" s="1">
        <v>2032570853</v>
      </c>
      <c r="D59" t="s">
        <v>280</v>
      </c>
      <c r="E59">
        <f>COUNTIF($C$1:C59,C59)</f>
        <v>1</v>
      </c>
      <c r="F59" t="str">
        <f t="shared" si="0"/>
        <v>20325708531</v>
      </c>
      <c r="G59">
        <f t="shared" si="1"/>
        <v>0</v>
      </c>
      <c r="H59">
        <f t="shared" si="11"/>
        <v>0</v>
      </c>
      <c r="I59" s="4">
        <v>2035229488</v>
      </c>
      <c r="J59" s="5">
        <f t="shared" si="20"/>
        <v>2</v>
      </c>
      <c r="K59" s="5">
        <f t="shared" si="21"/>
        <v>0</v>
      </c>
      <c r="L59" s="5" t="str">
        <f t="shared" si="12"/>
        <v>95, 299</v>
      </c>
      <c r="M59" s="5" t="str">
        <f t="shared" si="13"/>
        <v>DIEGO (MECANICO) ,DIEGO MECANICO</v>
      </c>
      <c r="N59">
        <f t="shared" si="22"/>
        <v>2</v>
      </c>
      <c r="P59">
        <f t="shared" si="23"/>
        <v>95</v>
      </c>
      <c r="Q59" t="str">
        <f t="shared" si="28"/>
        <v>, 299</v>
      </c>
      <c r="R59" t="str">
        <f t="shared" si="28"/>
        <v/>
      </c>
      <c r="S59" t="str">
        <f t="shared" si="28"/>
        <v/>
      </c>
      <c r="T59" t="str">
        <f t="shared" si="28"/>
        <v/>
      </c>
      <c r="U59" t="str">
        <f t="shared" si="28"/>
        <v/>
      </c>
      <c r="V59" t="str">
        <f t="shared" si="28"/>
        <v/>
      </c>
      <c r="Z59" t="str">
        <f t="shared" si="24"/>
        <v>DIEGO (MECANICO)</v>
      </c>
      <c r="AA59" t="str">
        <f t="shared" si="29"/>
        <v xml:space="preserve"> ,DIEGO MECANICO</v>
      </c>
      <c r="AB59" t="str">
        <f t="shared" si="29"/>
        <v/>
      </c>
      <c r="AC59" t="str">
        <f t="shared" si="29"/>
        <v/>
      </c>
      <c r="AD59" t="str">
        <f t="shared" si="29"/>
        <v/>
      </c>
      <c r="AE59" t="str">
        <f t="shared" si="29"/>
        <v/>
      </c>
      <c r="AF59" t="str">
        <f t="shared" si="29"/>
        <v/>
      </c>
      <c r="AV59">
        <v>58</v>
      </c>
      <c r="AW59" t="s">
        <v>47</v>
      </c>
      <c r="BM59">
        <v>58</v>
      </c>
      <c r="BN59" t="s">
        <v>47</v>
      </c>
      <c r="BO59" t="str">
        <f t="shared" si="9"/>
        <v>MAZIM amigo cidmar</v>
      </c>
      <c r="BP59" t="b">
        <f t="shared" si="25"/>
        <v>1</v>
      </c>
    </row>
    <row r="60" spans="1:68">
      <c r="A60">
        <v>59</v>
      </c>
      <c r="B60" t="s">
        <v>48</v>
      </c>
      <c r="C60" s="1">
        <v>2038583797</v>
      </c>
      <c r="D60" t="s">
        <v>280</v>
      </c>
      <c r="E60">
        <f>COUNTIF($C$1:C60,C60)</f>
        <v>1</v>
      </c>
      <c r="F60" t="str">
        <f t="shared" si="0"/>
        <v>20385837971</v>
      </c>
      <c r="G60">
        <f t="shared" si="1"/>
        <v>0</v>
      </c>
      <c r="H60">
        <f t="shared" si="11"/>
        <v>0</v>
      </c>
      <c r="I60" s="2">
        <v>9145659101</v>
      </c>
      <c r="J60" s="3">
        <f t="shared" si="20"/>
        <v>1</v>
      </c>
      <c r="K60" s="3">
        <f t="shared" si="21"/>
        <v>1</v>
      </c>
      <c r="L60" s="3" t="str">
        <f t="shared" si="12"/>
        <v>96</v>
      </c>
      <c r="M60" s="3" t="str">
        <f t="shared" si="13"/>
        <v>DOUGLAS pg</v>
      </c>
      <c r="N60">
        <f t="shared" si="22"/>
        <v>0</v>
      </c>
      <c r="P60">
        <f t="shared" si="23"/>
        <v>96</v>
      </c>
      <c r="Q60" t="str">
        <f t="shared" si="28"/>
        <v/>
      </c>
      <c r="R60" t="str">
        <f t="shared" si="28"/>
        <v/>
      </c>
      <c r="S60" t="str">
        <f t="shared" si="28"/>
        <v/>
      </c>
      <c r="T60" t="str">
        <f t="shared" si="28"/>
        <v/>
      </c>
      <c r="U60" t="str">
        <f t="shared" si="28"/>
        <v/>
      </c>
      <c r="V60" t="str">
        <f t="shared" si="28"/>
        <v/>
      </c>
      <c r="Z60" t="str">
        <f t="shared" si="24"/>
        <v>DOUGLAS pg</v>
      </c>
      <c r="AA60" t="str">
        <f t="shared" si="29"/>
        <v/>
      </c>
      <c r="AB60" t="str">
        <f t="shared" si="29"/>
        <v/>
      </c>
      <c r="AC60" t="str">
        <f t="shared" si="29"/>
        <v/>
      </c>
      <c r="AD60" t="str">
        <f t="shared" si="29"/>
        <v/>
      </c>
      <c r="AE60" t="str">
        <f t="shared" si="29"/>
        <v/>
      </c>
      <c r="AF60" t="str">
        <f t="shared" si="29"/>
        <v/>
      </c>
      <c r="AV60">
        <v>59</v>
      </c>
      <c r="AW60" t="s">
        <v>48</v>
      </c>
      <c r="BM60">
        <v>59</v>
      </c>
      <c r="BN60" t="s">
        <v>48</v>
      </c>
      <c r="BO60" t="str">
        <f t="shared" si="9"/>
        <v>ALMIR COSTA</v>
      </c>
      <c r="BP60" t="b">
        <f t="shared" si="25"/>
        <v>1</v>
      </c>
    </row>
    <row r="61" spans="1:68">
      <c r="A61">
        <v>60</v>
      </c>
      <c r="B61" t="s">
        <v>354</v>
      </c>
      <c r="C61" s="1">
        <v>9144975684</v>
      </c>
      <c r="D61" t="s">
        <v>280</v>
      </c>
      <c r="E61">
        <f>COUNTIF($C$1:C61,C61)</f>
        <v>2</v>
      </c>
      <c r="F61" t="str">
        <f t="shared" si="0"/>
        <v>91449756842</v>
      </c>
      <c r="G61">
        <f t="shared" si="1"/>
        <v>1</v>
      </c>
      <c r="H61">
        <f t="shared" si="11"/>
        <v>0</v>
      </c>
      <c r="I61" s="4">
        <v>2035597817</v>
      </c>
      <c r="J61" s="5">
        <f t="shared" si="20"/>
        <v>1</v>
      </c>
      <c r="K61" s="5">
        <f t="shared" si="21"/>
        <v>0</v>
      </c>
      <c r="L61" s="5" t="str">
        <f t="shared" si="12"/>
        <v>97</v>
      </c>
      <c r="M61" s="5" t="str">
        <f t="shared" si="13"/>
        <v>ROGERIO LOPES</v>
      </c>
      <c r="N61">
        <f t="shared" si="22"/>
        <v>1</v>
      </c>
      <c r="P61">
        <f t="shared" si="23"/>
        <v>97</v>
      </c>
      <c r="Q61" t="str">
        <f t="shared" si="28"/>
        <v/>
      </c>
      <c r="R61" t="str">
        <f t="shared" si="28"/>
        <v/>
      </c>
      <c r="S61" t="str">
        <f t="shared" si="28"/>
        <v/>
      </c>
      <c r="T61" t="str">
        <f t="shared" si="28"/>
        <v/>
      </c>
      <c r="U61" t="str">
        <f t="shared" si="28"/>
        <v/>
      </c>
      <c r="V61" t="str">
        <f t="shared" si="28"/>
        <v/>
      </c>
      <c r="Z61" t="str">
        <f t="shared" si="24"/>
        <v>ROGERIO LOPES</v>
      </c>
      <c r="AA61" t="str">
        <f t="shared" si="29"/>
        <v/>
      </c>
      <c r="AB61" t="str">
        <f t="shared" si="29"/>
        <v/>
      </c>
      <c r="AC61" t="str">
        <f t="shared" si="29"/>
        <v/>
      </c>
      <c r="AD61" t="str">
        <f t="shared" si="29"/>
        <v/>
      </c>
      <c r="AE61" t="str">
        <f t="shared" si="29"/>
        <v/>
      </c>
      <c r="AF61" t="str">
        <f t="shared" si="29"/>
        <v/>
      </c>
      <c r="AV61">
        <v>60</v>
      </c>
      <c r="AW61" t="s">
        <v>21</v>
      </c>
      <c r="BM61">
        <v>60</v>
      </c>
      <c r="BN61" t="s">
        <v>21</v>
      </c>
      <c r="BO61" t="str">
        <f t="shared" si="9"/>
        <v>BOY pg</v>
      </c>
      <c r="BP61" t="b">
        <f t="shared" si="25"/>
        <v>0</v>
      </c>
    </row>
    <row r="62" spans="1:68">
      <c r="A62">
        <v>61</v>
      </c>
      <c r="B62" t="s">
        <v>49</v>
      </c>
      <c r="C62" s="1">
        <v>2036105893</v>
      </c>
      <c r="D62" t="s">
        <v>280</v>
      </c>
      <c r="E62">
        <f>COUNTIF($C$1:C62,C62)</f>
        <v>1</v>
      </c>
      <c r="F62" t="str">
        <f t="shared" si="0"/>
        <v>20361058931</v>
      </c>
      <c r="G62">
        <f t="shared" si="1"/>
        <v>0</v>
      </c>
      <c r="H62">
        <f t="shared" si="11"/>
        <v>0</v>
      </c>
      <c r="I62" s="2">
        <v>9143918505</v>
      </c>
      <c r="J62" s="3">
        <f t="shared" si="20"/>
        <v>3</v>
      </c>
      <c r="K62" s="3">
        <f t="shared" si="21"/>
        <v>0</v>
      </c>
      <c r="L62" s="3" t="str">
        <f t="shared" si="12"/>
        <v>99, 282, 323</v>
      </c>
      <c r="M62" s="3" t="str">
        <f t="shared" si="13"/>
        <v>ADRIANO ,ADRIANO ,ADRIANO</v>
      </c>
      <c r="N62">
        <f t="shared" si="22"/>
        <v>3</v>
      </c>
      <c r="P62">
        <f t="shared" si="23"/>
        <v>99</v>
      </c>
      <c r="Q62" t="str">
        <f t="shared" ref="Q62:V71" si="30">IFERROR(", "&amp;INDEX($A$2:$A$501,MATCH($I62&amp;Q$1,$F$2:$F$501,0)),"")</f>
        <v>, 282</v>
      </c>
      <c r="R62" t="str">
        <f t="shared" si="30"/>
        <v>, 323</v>
      </c>
      <c r="S62" t="str">
        <f t="shared" si="30"/>
        <v/>
      </c>
      <c r="T62" t="str">
        <f t="shared" si="30"/>
        <v/>
      </c>
      <c r="U62" t="str">
        <f t="shared" si="30"/>
        <v/>
      </c>
      <c r="V62" t="str">
        <f t="shared" si="30"/>
        <v/>
      </c>
      <c r="Z62" t="str">
        <f t="shared" si="24"/>
        <v>ADRIANO</v>
      </c>
      <c r="AA62" t="str">
        <f t="shared" ref="AA62:AF71" si="31">IFERROR(" ,"&amp;INDEX($B$2:$B$501,MATCH($I62&amp;AA$1,$F$2:$F$501,0)),"")</f>
        <v xml:space="preserve"> ,ADRIANO</v>
      </c>
      <c r="AB62" t="str">
        <f t="shared" si="31"/>
        <v xml:space="preserve"> ,ADRIANO</v>
      </c>
      <c r="AC62" t="str">
        <f t="shared" si="31"/>
        <v/>
      </c>
      <c r="AD62" t="str">
        <f t="shared" si="31"/>
        <v/>
      </c>
      <c r="AE62" t="str">
        <f t="shared" si="31"/>
        <v/>
      </c>
      <c r="AF62" t="str">
        <f t="shared" si="31"/>
        <v/>
      </c>
      <c r="AV62">
        <v>61</v>
      </c>
      <c r="AW62" t="s">
        <v>49</v>
      </c>
      <c r="BM62">
        <v>61</v>
      </c>
      <c r="BN62" t="s">
        <v>49</v>
      </c>
      <c r="BO62" t="str">
        <f t="shared" si="9"/>
        <v>BRYAN DA SILVA /vagner</v>
      </c>
      <c r="BP62" t="b">
        <f t="shared" si="25"/>
        <v>1</v>
      </c>
    </row>
    <row r="63" spans="1:68">
      <c r="A63">
        <v>62</v>
      </c>
      <c r="B63" t="s">
        <v>50</v>
      </c>
      <c r="C63" s="1">
        <v>2033490246</v>
      </c>
      <c r="D63" t="s">
        <v>280</v>
      </c>
      <c r="E63">
        <f>COUNTIF($C$1:C63,C63)</f>
        <v>3</v>
      </c>
      <c r="F63" t="str">
        <f t="shared" si="0"/>
        <v>20334902463</v>
      </c>
      <c r="G63">
        <f t="shared" si="1"/>
        <v>0</v>
      </c>
      <c r="H63">
        <f t="shared" si="11"/>
        <v>0</v>
      </c>
      <c r="I63" s="4">
        <v>2035439473</v>
      </c>
      <c r="J63" s="5">
        <f t="shared" si="20"/>
        <v>2</v>
      </c>
      <c r="K63" s="5">
        <f t="shared" si="21"/>
        <v>0</v>
      </c>
      <c r="L63" s="5" t="str">
        <f t="shared" si="12"/>
        <v>90, 100</v>
      </c>
      <c r="M63" s="5" t="str">
        <f t="shared" si="13"/>
        <v>FE EM DEUS 2035439473 ,HARLEY</v>
      </c>
      <c r="N63">
        <f t="shared" si="22"/>
        <v>2</v>
      </c>
      <c r="P63">
        <f t="shared" si="23"/>
        <v>90</v>
      </c>
      <c r="Q63" t="str">
        <f t="shared" si="30"/>
        <v>, 100</v>
      </c>
      <c r="R63" t="str">
        <f t="shared" si="30"/>
        <v/>
      </c>
      <c r="S63" t="str">
        <f t="shared" si="30"/>
        <v/>
      </c>
      <c r="T63" t="str">
        <f t="shared" si="30"/>
        <v/>
      </c>
      <c r="U63" t="str">
        <f t="shared" si="30"/>
        <v/>
      </c>
      <c r="V63" t="str">
        <f t="shared" si="30"/>
        <v/>
      </c>
      <c r="Z63" t="str">
        <f t="shared" si="24"/>
        <v>FE EM DEUS 2035439473</v>
      </c>
      <c r="AA63" t="str">
        <f t="shared" si="31"/>
        <v xml:space="preserve"> ,HARLEY</v>
      </c>
      <c r="AB63" t="str">
        <f t="shared" si="31"/>
        <v/>
      </c>
      <c r="AC63" t="str">
        <f t="shared" si="31"/>
        <v/>
      </c>
      <c r="AD63" t="str">
        <f t="shared" si="31"/>
        <v/>
      </c>
      <c r="AE63" t="str">
        <f t="shared" si="31"/>
        <v/>
      </c>
      <c r="AF63" t="str">
        <f t="shared" si="31"/>
        <v/>
      </c>
      <c r="AV63">
        <v>62</v>
      </c>
      <c r="AW63" t="s">
        <v>50</v>
      </c>
      <c r="BM63">
        <v>62</v>
      </c>
      <c r="BN63" t="s">
        <v>50</v>
      </c>
      <c r="BO63" t="str">
        <f t="shared" si="9"/>
        <v>EDINEI ALVES amigo solon</v>
      </c>
      <c r="BP63" t="b">
        <f t="shared" si="25"/>
        <v>1</v>
      </c>
    </row>
    <row r="64" spans="1:68">
      <c r="A64">
        <v>63</v>
      </c>
      <c r="B64" t="s">
        <v>305</v>
      </c>
      <c r="C64" s="1">
        <v>9147602272</v>
      </c>
      <c r="D64" t="s">
        <v>280</v>
      </c>
      <c r="E64">
        <f>COUNTIF($C$1:C64,C64)</f>
        <v>1</v>
      </c>
      <c r="F64" t="str">
        <f t="shared" si="0"/>
        <v>91476022721</v>
      </c>
      <c r="G64">
        <f t="shared" si="1"/>
        <v>1</v>
      </c>
      <c r="H64">
        <f t="shared" si="11"/>
        <v>0</v>
      </c>
      <c r="I64" s="2">
        <v>2672706341</v>
      </c>
      <c r="J64" s="3">
        <f t="shared" si="20"/>
        <v>3</v>
      </c>
      <c r="K64" s="3">
        <f t="shared" si="21"/>
        <v>3</v>
      </c>
      <c r="L64" s="3" t="str">
        <f t="shared" si="12"/>
        <v>102, 104, 106</v>
      </c>
      <c r="M64" s="3" t="str">
        <f t="shared" si="13"/>
        <v>UEVERTON L FERREIRA pg ,UEVERTON L FERREIRA pg ,UEVERTON L FERREIRA pg</v>
      </c>
      <c r="N64">
        <f t="shared" si="22"/>
        <v>0</v>
      </c>
      <c r="P64">
        <f t="shared" si="23"/>
        <v>102</v>
      </c>
      <c r="Q64" t="str">
        <f t="shared" si="30"/>
        <v>, 104</v>
      </c>
      <c r="R64" t="str">
        <f t="shared" si="30"/>
        <v>, 106</v>
      </c>
      <c r="S64" t="str">
        <f t="shared" si="30"/>
        <v/>
      </c>
      <c r="T64" t="str">
        <f t="shared" si="30"/>
        <v/>
      </c>
      <c r="U64" t="str">
        <f t="shared" si="30"/>
        <v/>
      </c>
      <c r="V64" t="str">
        <f t="shared" si="30"/>
        <v/>
      </c>
      <c r="Z64" t="str">
        <f t="shared" si="24"/>
        <v>UEVERTON L FERREIRA pg</v>
      </c>
      <c r="AA64" t="str">
        <f t="shared" si="31"/>
        <v xml:space="preserve"> ,UEVERTON L FERREIRA pg</v>
      </c>
      <c r="AB64" t="str">
        <f t="shared" si="31"/>
        <v xml:space="preserve"> ,UEVERTON L FERREIRA pg</v>
      </c>
      <c r="AC64" t="str">
        <f t="shared" si="31"/>
        <v/>
      </c>
      <c r="AD64" t="str">
        <f t="shared" si="31"/>
        <v/>
      </c>
      <c r="AE64" t="str">
        <f t="shared" si="31"/>
        <v/>
      </c>
      <c r="AF64" t="str">
        <f t="shared" si="31"/>
        <v/>
      </c>
      <c r="AV64">
        <v>63</v>
      </c>
      <c r="AW64" t="s">
        <v>51</v>
      </c>
      <c r="BM64">
        <v>63</v>
      </c>
      <c r="BN64" t="s">
        <v>305</v>
      </c>
      <c r="BO64" t="str">
        <f t="shared" si="9"/>
        <v>DALTON pg</v>
      </c>
      <c r="BP64" t="b">
        <f t="shared" si="25"/>
        <v>1</v>
      </c>
    </row>
    <row r="65" spans="1:68">
      <c r="A65">
        <v>64</v>
      </c>
      <c r="B65" t="s">
        <v>305</v>
      </c>
      <c r="C65" s="1">
        <v>9147602272</v>
      </c>
      <c r="D65" t="s">
        <v>280</v>
      </c>
      <c r="E65">
        <f>COUNTIF($C$1:C65,C65)</f>
        <v>2</v>
      </c>
      <c r="F65" t="str">
        <f t="shared" si="0"/>
        <v>91476022722</v>
      </c>
      <c r="G65">
        <f t="shared" si="1"/>
        <v>1</v>
      </c>
      <c r="H65">
        <f t="shared" si="11"/>
        <v>0</v>
      </c>
      <c r="I65" s="4">
        <v>9144266464</v>
      </c>
      <c r="J65" s="5">
        <f t="shared" si="20"/>
        <v>1</v>
      </c>
      <c r="K65" s="5">
        <f t="shared" si="21"/>
        <v>1</v>
      </c>
      <c r="L65" s="5" t="str">
        <f t="shared" si="12"/>
        <v>103</v>
      </c>
      <c r="M65" s="5" t="str">
        <f t="shared" si="13"/>
        <v>RAFA JOAO pg</v>
      </c>
      <c r="N65">
        <f t="shared" si="22"/>
        <v>0</v>
      </c>
      <c r="P65">
        <f t="shared" si="23"/>
        <v>103</v>
      </c>
      <c r="Q65" t="str">
        <f t="shared" si="30"/>
        <v/>
      </c>
      <c r="R65" t="str">
        <f t="shared" si="30"/>
        <v/>
      </c>
      <c r="S65" t="str">
        <f t="shared" si="30"/>
        <v/>
      </c>
      <c r="T65" t="str">
        <f t="shared" si="30"/>
        <v/>
      </c>
      <c r="U65" t="str">
        <f t="shared" si="30"/>
        <v/>
      </c>
      <c r="V65" t="str">
        <f t="shared" si="30"/>
        <v/>
      </c>
      <c r="Z65" t="str">
        <f t="shared" si="24"/>
        <v>RAFA JOAO pg</v>
      </c>
      <c r="AA65" t="str">
        <f t="shared" si="31"/>
        <v/>
      </c>
      <c r="AB65" t="str">
        <f t="shared" si="31"/>
        <v/>
      </c>
      <c r="AC65" t="str">
        <f t="shared" si="31"/>
        <v/>
      </c>
      <c r="AD65" t="str">
        <f t="shared" si="31"/>
        <v/>
      </c>
      <c r="AE65" t="str">
        <f t="shared" si="31"/>
        <v/>
      </c>
      <c r="AF65" t="str">
        <f t="shared" si="31"/>
        <v/>
      </c>
      <c r="AV65">
        <v>64</v>
      </c>
      <c r="AW65" t="s">
        <v>51</v>
      </c>
      <c r="BM65">
        <v>64</v>
      </c>
      <c r="BN65" t="s">
        <v>305</v>
      </c>
      <c r="BO65" t="str">
        <f t="shared" si="9"/>
        <v>DALTON pg</v>
      </c>
      <c r="BP65" t="b">
        <f t="shared" si="25"/>
        <v>1</v>
      </c>
    </row>
    <row r="66" spans="1:68">
      <c r="A66">
        <v>65</v>
      </c>
      <c r="B66" t="s">
        <v>43</v>
      </c>
      <c r="C66" s="1">
        <v>9144399667</v>
      </c>
      <c r="D66" t="s">
        <v>280</v>
      </c>
      <c r="E66">
        <f>COUNTIF($C$1:C66,C66)</f>
        <v>2</v>
      </c>
      <c r="F66" t="str">
        <f t="shared" ref="F66:F129" si="32">C66&amp;E66</f>
        <v>91443996672</v>
      </c>
      <c r="G66">
        <f t="shared" ref="G66:G129" si="33">IF(IFERROR(FIND("pg",LOWER(B66)),0)=0,0,1)</f>
        <v>1</v>
      </c>
      <c r="H66">
        <f t="shared" si="11"/>
        <v>0</v>
      </c>
      <c r="I66" s="2">
        <v>2032432447</v>
      </c>
      <c r="J66" s="3">
        <f t="shared" ref="J66:J97" si="34">COUNTIF(C:C,I66)</f>
        <v>1</v>
      </c>
      <c r="K66" s="3">
        <f t="shared" ref="K66:K97" si="35">COUNTIFS(C:C,I66,G:G,1)+COUNTIFS(C:C,I66,H:H,1)</f>
        <v>0</v>
      </c>
      <c r="L66" s="3" t="str">
        <f t="shared" si="12"/>
        <v>108</v>
      </c>
      <c r="M66" s="3" t="str">
        <f t="shared" si="13"/>
        <v>WIGNER LIMA</v>
      </c>
      <c r="N66">
        <f t="shared" ref="N66:N97" si="36">J66-K66</f>
        <v>1</v>
      </c>
      <c r="P66">
        <f t="shared" ref="P66:P97" si="37">IFERROR(INDEX($A$2:$A$501,MATCH($I66&amp;P$1,$F$2:$F$501,0)),"")</f>
        <v>108</v>
      </c>
      <c r="Q66" t="str">
        <f t="shared" si="30"/>
        <v/>
      </c>
      <c r="R66" t="str">
        <f t="shared" si="30"/>
        <v/>
      </c>
      <c r="S66" t="str">
        <f t="shared" si="30"/>
        <v/>
      </c>
      <c r="T66" t="str">
        <f t="shared" si="30"/>
        <v/>
      </c>
      <c r="U66" t="str">
        <f t="shared" si="30"/>
        <v/>
      </c>
      <c r="V66" t="str">
        <f t="shared" si="30"/>
        <v/>
      </c>
      <c r="Z66" t="str">
        <f t="shared" ref="Z66:Z97" si="38">IFERROR(INDEX($B$2:$B$501,MATCH($I66&amp;Z$1,$F$2:$F$501,0)),"")</f>
        <v>WIGNER LIMA</v>
      </c>
      <c r="AA66" t="str">
        <f t="shared" si="31"/>
        <v/>
      </c>
      <c r="AB66" t="str">
        <f t="shared" si="31"/>
        <v/>
      </c>
      <c r="AC66" t="str">
        <f t="shared" si="31"/>
        <v/>
      </c>
      <c r="AD66" t="str">
        <f t="shared" si="31"/>
        <v/>
      </c>
      <c r="AE66" t="str">
        <f t="shared" si="31"/>
        <v/>
      </c>
      <c r="AF66" t="str">
        <f t="shared" si="31"/>
        <v/>
      </c>
      <c r="AV66">
        <v>65</v>
      </c>
      <c r="AW66" t="s">
        <v>43</v>
      </c>
      <c r="BM66">
        <v>65</v>
      </c>
      <c r="BN66" t="s">
        <v>43</v>
      </c>
      <c r="BO66" t="str">
        <f t="shared" ref="BO66:BO129" si="39">VLOOKUP(BM66,A:B,2,0)</f>
        <v>ALAN KARLA pg</v>
      </c>
      <c r="BP66" t="b">
        <f t="shared" ref="BP66:BP97" si="40">BO66=BN66</f>
        <v>1</v>
      </c>
    </row>
    <row r="67" spans="1:68">
      <c r="A67">
        <v>66</v>
      </c>
      <c r="B67" t="s">
        <v>52</v>
      </c>
      <c r="C67" s="1">
        <v>6178661781</v>
      </c>
      <c r="D67" t="s">
        <v>280</v>
      </c>
      <c r="E67">
        <f>COUNTIF($C$1:C67,C67)</f>
        <v>1</v>
      </c>
      <c r="F67" t="str">
        <f t="shared" si="32"/>
        <v>61786617811</v>
      </c>
      <c r="G67">
        <f t="shared" si="33"/>
        <v>0</v>
      </c>
      <c r="H67">
        <f t="shared" ref="H67:H130" si="41">IF(IFERROR(FIND("(f)",LOWER(B67)),0)=0,0,1)</f>
        <v>0</v>
      </c>
      <c r="I67" s="4">
        <v>9148302799</v>
      </c>
      <c r="J67" s="5">
        <f t="shared" si="34"/>
        <v>4</v>
      </c>
      <c r="K67" s="5">
        <f t="shared" si="35"/>
        <v>4</v>
      </c>
      <c r="L67" s="5" t="str">
        <f t="shared" ref="L67:L130" si="42">CONCATENATE(P67,Q67,R67,S67,T67,U67,V67,)</f>
        <v>111, 387, 411, 487</v>
      </c>
      <c r="M67" s="5" t="str">
        <f t="shared" ref="M67:M130" si="43">CONCATENATE(Z67,AA67,AB67,AC67,AD67,AE67,AF67)</f>
        <v>RONAN pg ,Ronan (Empire home solution)pg ,Ronan (Empire home solution)pg ,Ronan (Empire home solution) (f)</v>
      </c>
      <c r="N67">
        <f t="shared" si="36"/>
        <v>0</v>
      </c>
      <c r="P67">
        <f t="shared" si="37"/>
        <v>111</v>
      </c>
      <c r="Q67" t="str">
        <f t="shared" si="30"/>
        <v>, 387</v>
      </c>
      <c r="R67" t="str">
        <f t="shared" si="30"/>
        <v>, 411</v>
      </c>
      <c r="S67" t="str">
        <f t="shared" si="30"/>
        <v>, 487</v>
      </c>
      <c r="T67" t="str">
        <f t="shared" si="30"/>
        <v/>
      </c>
      <c r="U67" t="str">
        <f t="shared" si="30"/>
        <v/>
      </c>
      <c r="V67" t="str">
        <f t="shared" si="30"/>
        <v/>
      </c>
      <c r="Z67" t="str">
        <f t="shared" si="38"/>
        <v>RONAN pg</v>
      </c>
      <c r="AA67" t="str">
        <f t="shared" si="31"/>
        <v xml:space="preserve"> ,Ronan (Empire home solution)pg</v>
      </c>
      <c r="AB67" t="str">
        <f t="shared" si="31"/>
        <v xml:space="preserve"> ,Ronan (Empire home solution)pg</v>
      </c>
      <c r="AC67" t="str">
        <f t="shared" si="31"/>
        <v xml:space="preserve"> ,Ronan (Empire home solution) (f)</v>
      </c>
      <c r="AD67" t="str">
        <f t="shared" si="31"/>
        <v/>
      </c>
      <c r="AE67" t="str">
        <f t="shared" si="31"/>
        <v/>
      </c>
      <c r="AF67" t="str">
        <f t="shared" si="31"/>
        <v/>
      </c>
      <c r="AV67">
        <v>66</v>
      </c>
      <c r="AW67" t="s">
        <v>52</v>
      </c>
      <c r="BM67">
        <v>66</v>
      </c>
      <c r="BN67" t="s">
        <v>52</v>
      </c>
      <c r="BO67" t="str">
        <f t="shared" si="39"/>
        <v>DANILO AMARAL</v>
      </c>
      <c r="BP67" t="b">
        <f t="shared" si="40"/>
        <v>1</v>
      </c>
    </row>
    <row r="68" spans="1:68">
      <c r="A68">
        <v>67</v>
      </c>
      <c r="B68" t="s">
        <v>9</v>
      </c>
      <c r="C68" s="1">
        <v>9148376239</v>
      </c>
      <c r="D68" t="s">
        <v>280</v>
      </c>
      <c r="E68">
        <f>COUNTIF($C$1:C68,C68)</f>
        <v>2</v>
      </c>
      <c r="F68" t="str">
        <f t="shared" si="32"/>
        <v>91483762392</v>
      </c>
      <c r="G68">
        <f t="shared" si="33"/>
        <v>0</v>
      </c>
      <c r="H68">
        <f t="shared" si="41"/>
        <v>0</v>
      </c>
      <c r="I68" s="2">
        <v>6313360222</v>
      </c>
      <c r="J68" s="3">
        <f t="shared" si="34"/>
        <v>1</v>
      </c>
      <c r="K68" s="3">
        <f t="shared" si="35"/>
        <v>1</v>
      </c>
      <c r="L68" s="3" t="str">
        <f t="shared" si="42"/>
        <v>112</v>
      </c>
      <c r="M68" s="3" t="str">
        <f t="shared" si="43"/>
        <v>MARCOS VINICIUS pg</v>
      </c>
      <c r="N68">
        <f t="shared" si="36"/>
        <v>0</v>
      </c>
      <c r="P68">
        <f t="shared" si="37"/>
        <v>112</v>
      </c>
      <c r="Q68" t="str">
        <f t="shared" si="30"/>
        <v/>
      </c>
      <c r="R68" t="str">
        <f t="shared" si="30"/>
        <v/>
      </c>
      <c r="S68" t="str">
        <f t="shared" si="30"/>
        <v/>
      </c>
      <c r="T68" t="str">
        <f t="shared" si="30"/>
        <v/>
      </c>
      <c r="U68" t="str">
        <f t="shared" si="30"/>
        <v/>
      </c>
      <c r="V68" t="str">
        <f t="shared" si="30"/>
        <v/>
      </c>
      <c r="Z68" t="str">
        <f t="shared" si="38"/>
        <v>MARCOS VINICIUS pg</v>
      </c>
      <c r="AA68" t="str">
        <f t="shared" si="31"/>
        <v/>
      </c>
      <c r="AB68" t="str">
        <f t="shared" si="31"/>
        <v/>
      </c>
      <c r="AC68" t="str">
        <f t="shared" si="31"/>
        <v/>
      </c>
      <c r="AD68" t="str">
        <f t="shared" si="31"/>
        <v/>
      </c>
      <c r="AE68" t="str">
        <f t="shared" si="31"/>
        <v/>
      </c>
      <c r="AF68" t="str">
        <f t="shared" si="31"/>
        <v/>
      </c>
      <c r="AV68">
        <v>67</v>
      </c>
      <c r="AW68" t="s">
        <v>9</v>
      </c>
      <c r="BM68">
        <v>67</v>
      </c>
      <c r="BN68" t="s">
        <v>9</v>
      </c>
      <c r="BO68" t="str">
        <f t="shared" si="39"/>
        <v>ROGERIO PLUMBER</v>
      </c>
      <c r="BP68" t="b">
        <f t="shared" si="40"/>
        <v>1</v>
      </c>
    </row>
    <row r="69" spans="1:68">
      <c r="A69">
        <v>68</v>
      </c>
      <c r="B69" t="s">
        <v>52</v>
      </c>
      <c r="C69" s="1">
        <v>6178661781</v>
      </c>
      <c r="D69" t="s">
        <v>280</v>
      </c>
      <c r="E69">
        <f>COUNTIF($C$1:C69,C69)</f>
        <v>2</v>
      </c>
      <c r="F69" t="str">
        <f t="shared" si="32"/>
        <v>61786617812</v>
      </c>
      <c r="G69">
        <f t="shared" si="33"/>
        <v>0</v>
      </c>
      <c r="H69">
        <f t="shared" si="41"/>
        <v>0</v>
      </c>
      <c r="I69" s="4">
        <v>2035456330</v>
      </c>
      <c r="J69" s="5">
        <f t="shared" si="34"/>
        <v>4</v>
      </c>
      <c r="K69" s="5">
        <f t="shared" si="35"/>
        <v>0</v>
      </c>
      <c r="L69" s="5" t="str">
        <f t="shared" si="42"/>
        <v>113, 118, 131, 144</v>
      </c>
      <c r="M69" s="5" t="str">
        <f t="shared" si="43"/>
        <v>RONIVON ,RONIVON ,RONIVON ,RONIVON</v>
      </c>
      <c r="N69">
        <f t="shared" si="36"/>
        <v>4</v>
      </c>
      <c r="P69">
        <f t="shared" si="37"/>
        <v>113</v>
      </c>
      <c r="Q69" t="str">
        <f t="shared" si="30"/>
        <v>, 118</v>
      </c>
      <c r="R69" t="str">
        <f t="shared" si="30"/>
        <v>, 131</v>
      </c>
      <c r="S69" t="str">
        <f t="shared" si="30"/>
        <v>, 144</v>
      </c>
      <c r="T69" t="str">
        <f t="shared" si="30"/>
        <v/>
      </c>
      <c r="U69" t="str">
        <f t="shared" si="30"/>
        <v/>
      </c>
      <c r="V69" t="str">
        <f t="shared" si="30"/>
        <v/>
      </c>
      <c r="Z69" t="str">
        <f t="shared" si="38"/>
        <v>RONIVON</v>
      </c>
      <c r="AA69" t="str">
        <f t="shared" si="31"/>
        <v xml:space="preserve"> ,RONIVON</v>
      </c>
      <c r="AB69" t="str">
        <f t="shared" si="31"/>
        <v xml:space="preserve"> ,RONIVON</v>
      </c>
      <c r="AC69" t="str">
        <f t="shared" si="31"/>
        <v xml:space="preserve"> ,RONIVON</v>
      </c>
      <c r="AD69" t="str">
        <f t="shared" si="31"/>
        <v/>
      </c>
      <c r="AE69" t="str">
        <f t="shared" si="31"/>
        <v/>
      </c>
      <c r="AF69" t="str">
        <f t="shared" si="31"/>
        <v/>
      </c>
      <c r="AV69">
        <v>68</v>
      </c>
      <c r="AW69" t="s">
        <v>52</v>
      </c>
      <c r="BM69">
        <v>68</v>
      </c>
      <c r="BN69" t="s">
        <v>52</v>
      </c>
      <c r="BO69" t="str">
        <f t="shared" si="39"/>
        <v>DANILO AMARAL</v>
      </c>
      <c r="BP69" t="b">
        <f t="shared" si="40"/>
        <v>1</v>
      </c>
    </row>
    <row r="70" spans="1:68">
      <c r="A70">
        <v>69</v>
      </c>
      <c r="E70">
        <f>COUNTIF($C$1:C70,C70)</f>
        <v>0</v>
      </c>
      <c r="F70" t="str">
        <f t="shared" si="32"/>
        <v>0</v>
      </c>
      <c r="G70">
        <f t="shared" si="33"/>
        <v>0</v>
      </c>
      <c r="H70">
        <f t="shared" si="41"/>
        <v>0</v>
      </c>
      <c r="I70" s="2">
        <v>4752142518</v>
      </c>
      <c r="J70" s="3">
        <f t="shared" si="34"/>
        <v>1</v>
      </c>
      <c r="K70" s="3">
        <f t="shared" si="35"/>
        <v>0</v>
      </c>
      <c r="L70" s="3" t="str">
        <f t="shared" si="42"/>
        <v>114</v>
      </c>
      <c r="M70" s="3" t="str">
        <f t="shared" si="43"/>
        <v>Jonata</v>
      </c>
      <c r="N70">
        <f t="shared" si="36"/>
        <v>1</v>
      </c>
      <c r="P70">
        <f t="shared" si="37"/>
        <v>114</v>
      </c>
      <c r="Q70" t="str">
        <f t="shared" si="30"/>
        <v/>
      </c>
      <c r="R70" t="str">
        <f t="shared" si="30"/>
        <v/>
      </c>
      <c r="S70" t="str">
        <f t="shared" si="30"/>
        <v/>
      </c>
      <c r="T70" t="str">
        <f t="shared" si="30"/>
        <v/>
      </c>
      <c r="U70" t="str">
        <f t="shared" si="30"/>
        <v/>
      </c>
      <c r="V70" t="str">
        <f t="shared" si="30"/>
        <v/>
      </c>
      <c r="Z70" t="str">
        <f t="shared" si="38"/>
        <v>Jonata</v>
      </c>
      <c r="AA70" t="str">
        <f t="shared" si="31"/>
        <v/>
      </c>
      <c r="AB70" t="str">
        <f t="shared" si="31"/>
        <v/>
      </c>
      <c r="AC70" t="str">
        <f t="shared" si="31"/>
        <v/>
      </c>
      <c r="AD70" t="str">
        <f t="shared" si="31"/>
        <v/>
      </c>
      <c r="AE70" t="str">
        <f t="shared" si="31"/>
        <v/>
      </c>
      <c r="AF70" t="str">
        <f t="shared" si="31"/>
        <v/>
      </c>
      <c r="AV70">
        <v>69</v>
      </c>
      <c r="AW70" t="s">
        <v>45</v>
      </c>
      <c r="BM70">
        <v>69</v>
      </c>
      <c r="BN70" t="s">
        <v>45</v>
      </c>
      <c r="BO70">
        <f t="shared" si="39"/>
        <v>0</v>
      </c>
      <c r="BP70" t="b">
        <f t="shared" si="40"/>
        <v>0</v>
      </c>
    </row>
    <row r="71" spans="1:68">
      <c r="A71">
        <v>70</v>
      </c>
      <c r="B71" t="s">
        <v>53</v>
      </c>
      <c r="D71" t="s">
        <v>281</v>
      </c>
      <c r="E71">
        <f>COUNTIF($C$1:C71,C71)</f>
        <v>0</v>
      </c>
      <c r="F71" t="str">
        <f t="shared" si="32"/>
        <v>0</v>
      </c>
      <c r="G71">
        <f t="shared" si="33"/>
        <v>0</v>
      </c>
      <c r="H71">
        <f t="shared" si="41"/>
        <v>0</v>
      </c>
      <c r="I71" s="4">
        <v>2034029369</v>
      </c>
      <c r="J71" s="5">
        <f t="shared" si="34"/>
        <v>1</v>
      </c>
      <c r="K71" s="5">
        <f t="shared" si="35"/>
        <v>1</v>
      </c>
      <c r="L71" s="5" t="str">
        <f t="shared" si="42"/>
        <v>117</v>
      </c>
      <c r="M71" s="5" t="str">
        <f t="shared" si="43"/>
        <v>Paulo pg</v>
      </c>
      <c r="N71">
        <f t="shared" si="36"/>
        <v>0</v>
      </c>
      <c r="P71">
        <f t="shared" si="37"/>
        <v>117</v>
      </c>
      <c r="Q71" t="str">
        <f t="shared" si="30"/>
        <v/>
      </c>
      <c r="R71" t="str">
        <f t="shared" si="30"/>
        <v/>
      </c>
      <c r="S71" t="str">
        <f t="shared" si="30"/>
        <v/>
      </c>
      <c r="T71" t="str">
        <f t="shared" si="30"/>
        <v/>
      </c>
      <c r="U71" t="str">
        <f t="shared" si="30"/>
        <v/>
      </c>
      <c r="V71" t="str">
        <f t="shared" si="30"/>
        <v/>
      </c>
      <c r="Z71" t="str">
        <f t="shared" si="38"/>
        <v>Paulo pg</v>
      </c>
      <c r="AA71" t="str">
        <f t="shared" si="31"/>
        <v/>
      </c>
      <c r="AB71" t="str">
        <f t="shared" si="31"/>
        <v/>
      </c>
      <c r="AC71" t="str">
        <f t="shared" si="31"/>
        <v/>
      </c>
      <c r="AD71" t="str">
        <f t="shared" si="31"/>
        <v/>
      </c>
      <c r="AE71" t="str">
        <f t="shared" si="31"/>
        <v/>
      </c>
      <c r="AF71" t="str">
        <f t="shared" si="31"/>
        <v/>
      </c>
      <c r="AV71">
        <v>70</v>
      </c>
      <c r="AW71" t="s">
        <v>53</v>
      </c>
      <c r="BM71">
        <v>70</v>
      </c>
      <c r="BN71" t="s">
        <v>53</v>
      </c>
      <c r="BO71" t="str">
        <f t="shared" si="39"/>
        <v>CESAR BARROS</v>
      </c>
      <c r="BP71" t="b">
        <f t="shared" si="40"/>
        <v>1</v>
      </c>
    </row>
    <row r="72" spans="1:68">
      <c r="A72">
        <v>71</v>
      </c>
      <c r="B72" t="s">
        <v>54</v>
      </c>
      <c r="D72" t="s">
        <v>281</v>
      </c>
      <c r="E72">
        <f>COUNTIF($C$1:C72,C72)</f>
        <v>0</v>
      </c>
      <c r="F72" t="str">
        <f t="shared" si="32"/>
        <v>0</v>
      </c>
      <c r="G72">
        <f t="shared" si="33"/>
        <v>0</v>
      </c>
      <c r="H72">
        <f t="shared" si="41"/>
        <v>0</v>
      </c>
      <c r="I72" s="2">
        <v>2035218381</v>
      </c>
      <c r="J72" s="3">
        <f t="shared" si="34"/>
        <v>4</v>
      </c>
      <c r="K72" s="3">
        <f t="shared" si="35"/>
        <v>4</v>
      </c>
      <c r="L72" s="3" t="str">
        <f t="shared" si="42"/>
        <v>122, 177, 178, 279</v>
      </c>
      <c r="M72" s="3" t="str">
        <f t="shared" si="43"/>
        <v>Gilmar Schmidt pg ,Gilmar Schmidt pg ,Gilmar Schmidt pg ,Gilmar Schmidt (f)</v>
      </c>
      <c r="N72">
        <f t="shared" si="36"/>
        <v>0</v>
      </c>
      <c r="P72">
        <f t="shared" si="37"/>
        <v>122</v>
      </c>
      <c r="Q72" t="str">
        <f t="shared" ref="Q72:V81" si="44">IFERROR(", "&amp;INDEX($A$2:$A$501,MATCH($I72&amp;Q$1,$F$2:$F$501,0)),"")</f>
        <v>, 177</v>
      </c>
      <c r="R72" t="str">
        <f t="shared" si="44"/>
        <v>, 178</v>
      </c>
      <c r="S72" t="str">
        <f t="shared" si="44"/>
        <v>, 279</v>
      </c>
      <c r="T72" t="str">
        <f t="shared" si="44"/>
        <v/>
      </c>
      <c r="U72" t="str">
        <f t="shared" si="44"/>
        <v/>
      </c>
      <c r="V72" t="str">
        <f t="shared" si="44"/>
        <v/>
      </c>
      <c r="Z72" t="str">
        <f t="shared" si="38"/>
        <v>Gilmar Schmidt pg</v>
      </c>
      <c r="AA72" t="str">
        <f t="shared" ref="AA72:AF81" si="45">IFERROR(" ,"&amp;INDEX($B$2:$B$501,MATCH($I72&amp;AA$1,$F$2:$F$501,0)),"")</f>
        <v xml:space="preserve"> ,Gilmar Schmidt pg</v>
      </c>
      <c r="AB72" t="str">
        <f t="shared" si="45"/>
        <v xml:space="preserve"> ,Gilmar Schmidt pg</v>
      </c>
      <c r="AC72" t="str">
        <f t="shared" si="45"/>
        <v xml:space="preserve"> ,Gilmar Schmidt (f)</v>
      </c>
      <c r="AD72" t="str">
        <f t="shared" si="45"/>
        <v/>
      </c>
      <c r="AE72" t="str">
        <f t="shared" si="45"/>
        <v/>
      </c>
      <c r="AF72" t="str">
        <f t="shared" si="45"/>
        <v/>
      </c>
      <c r="AV72">
        <v>71</v>
      </c>
      <c r="AW72" t="s">
        <v>54</v>
      </c>
      <c r="BM72">
        <v>71</v>
      </c>
      <c r="BN72" t="s">
        <v>54</v>
      </c>
      <c r="BO72" t="str">
        <f t="shared" si="39"/>
        <v>HENRIQUE</v>
      </c>
      <c r="BP72" t="b">
        <f t="shared" si="40"/>
        <v>1</v>
      </c>
    </row>
    <row r="73" spans="1:68">
      <c r="A73">
        <v>72</v>
      </c>
      <c r="B73" t="s">
        <v>11</v>
      </c>
      <c r="C73" s="1">
        <v>2039817839</v>
      </c>
      <c r="D73" t="s">
        <v>280</v>
      </c>
      <c r="E73">
        <f>COUNTIF($C$1:C73,C73)</f>
        <v>5</v>
      </c>
      <c r="F73" t="str">
        <f t="shared" si="32"/>
        <v>20398178395</v>
      </c>
      <c r="G73">
        <f t="shared" si="33"/>
        <v>0</v>
      </c>
      <c r="H73">
        <f t="shared" si="41"/>
        <v>0</v>
      </c>
      <c r="I73" s="4">
        <v>9144979492</v>
      </c>
      <c r="J73" s="5">
        <f t="shared" si="34"/>
        <v>1</v>
      </c>
      <c r="K73" s="5">
        <f t="shared" si="35"/>
        <v>0</v>
      </c>
      <c r="L73" s="5" t="str">
        <f t="shared" si="42"/>
        <v>123</v>
      </c>
      <c r="M73" s="5" t="str">
        <f t="shared" si="43"/>
        <v>FABIANE</v>
      </c>
      <c r="N73">
        <f t="shared" si="36"/>
        <v>1</v>
      </c>
      <c r="P73">
        <f t="shared" si="37"/>
        <v>123</v>
      </c>
      <c r="Q73" t="str">
        <f t="shared" si="44"/>
        <v/>
      </c>
      <c r="R73" t="str">
        <f t="shared" si="44"/>
        <v/>
      </c>
      <c r="S73" t="str">
        <f t="shared" si="44"/>
        <v/>
      </c>
      <c r="T73" t="str">
        <f t="shared" si="44"/>
        <v/>
      </c>
      <c r="U73" t="str">
        <f t="shared" si="44"/>
        <v/>
      </c>
      <c r="V73" t="str">
        <f t="shared" si="44"/>
        <v/>
      </c>
      <c r="Z73" t="str">
        <f t="shared" si="38"/>
        <v>FABIANE</v>
      </c>
      <c r="AA73" t="str">
        <f t="shared" si="45"/>
        <v/>
      </c>
      <c r="AB73" t="str">
        <f t="shared" si="45"/>
        <v/>
      </c>
      <c r="AC73" t="str">
        <f t="shared" si="45"/>
        <v/>
      </c>
      <c r="AD73" t="str">
        <f t="shared" si="45"/>
        <v/>
      </c>
      <c r="AE73" t="str">
        <f t="shared" si="45"/>
        <v/>
      </c>
      <c r="AF73" t="str">
        <f t="shared" si="45"/>
        <v/>
      </c>
      <c r="AV73">
        <v>72</v>
      </c>
      <c r="AW73" t="s">
        <v>11</v>
      </c>
      <c r="BM73">
        <v>72</v>
      </c>
      <c r="BN73" t="s">
        <v>11</v>
      </c>
      <c r="BO73" t="str">
        <f t="shared" si="39"/>
        <v>FRANKLYN</v>
      </c>
      <c r="BP73" t="b">
        <f t="shared" si="40"/>
        <v>1</v>
      </c>
    </row>
    <row r="74" spans="1:68">
      <c r="A74">
        <v>73</v>
      </c>
      <c r="B74" t="s">
        <v>55</v>
      </c>
      <c r="C74" s="1">
        <v>9144003667</v>
      </c>
      <c r="D74" t="s">
        <v>280</v>
      </c>
      <c r="E74">
        <f>COUNTIF($C$1:C74,C74)</f>
        <v>1</v>
      </c>
      <c r="F74" t="str">
        <f t="shared" si="32"/>
        <v>91440036671</v>
      </c>
      <c r="G74">
        <f t="shared" si="33"/>
        <v>0</v>
      </c>
      <c r="H74">
        <f t="shared" si="41"/>
        <v>0</v>
      </c>
      <c r="I74" s="2">
        <v>9149060181</v>
      </c>
      <c r="J74" s="3">
        <f t="shared" si="34"/>
        <v>1</v>
      </c>
      <c r="K74" s="3">
        <f t="shared" si="35"/>
        <v>1</v>
      </c>
      <c r="L74" s="3" t="str">
        <f t="shared" si="42"/>
        <v>125</v>
      </c>
      <c r="M74" s="3" t="str">
        <f t="shared" si="43"/>
        <v>MARCELO ZANETTI pg</v>
      </c>
      <c r="N74">
        <f t="shared" si="36"/>
        <v>0</v>
      </c>
      <c r="P74">
        <f t="shared" si="37"/>
        <v>125</v>
      </c>
      <c r="Q74" t="str">
        <f t="shared" si="44"/>
        <v/>
      </c>
      <c r="R74" t="str">
        <f t="shared" si="44"/>
        <v/>
      </c>
      <c r="S74" t="str">
        <f t="shared" si="44"/>
        <v/>
      </c>
      <c r="T74" t="str">
        <f t="shared" si="44"/>
        <v/>
      </c>
      <c r="U74" t="str">
        <f t="shared" si="44"/>
        <v/>
      </c>
      <c r="V74" t="str">
        <f t="shared" si="44"/>
        <v/>
      </c>
      <c r="Z74" t="str">
        <f t="shared" si="38"/>
        <v>MARCELO ZANETTI pg</v>
      </c>
      <c r="AA74" t="str">
        <f t="shared" si="45"/>
        <v/>
      </c>
      <c r="AB74" t="str">
        <f t="shared" si="45"/>
        <v/>
      </c>
      <c r="AC74" t="str">
        <f t="shared" si="45"/>
        <v/>
      </c>
      <c r="AD74" t="str">
        <f t="shared" si="45"/>
        <v/>
      </c>
      <c r="AE74" t="str">
        <f t="shared" si="45"/>
        <v/>
      </c>
      <c r="AF74" t="str">
        <f t="shared" si="45"/>
        <v/>
      </c>
      <c r="AV74">
        <v>73</v>
      </c>
      <c r="AW74" t="s">
        <v>55</v>
      </c>
      <c r="BM74">
        <v>73</v>
      </c>
      <c r="BN74" t="s">
        <v>55</v>
      </c>
      <c r="BO74" t="str">
        <f t="shared" si="39"/>
        <v>ANDERSON JEFERSON</v>
      </c>
      <c r="BP74" t="b">
        <f t="shared" si="40"/>
        <v>1</v>
      </c>
    </row>
    <row r="75" spans="1:68">
      <c r="A75">
        <v>74</v>
      </c>
      <c r="B75" t="s">
        <v>12</v>
      </c>
      <c r="C75" s="1">
        <v>2039817839</v>
      </c>
      <c r="D75" t="s">
        <v>280</v>
      </c>
      <c r="E75">
        <f>COUNTIF($C$1:C75,C75)</f>
        <v>6</v>
      </c>
      <c r="F75" t="str">
        <f t="shared" si="32"/>
        <v>20398178396</v>
      </c>
      <c r="G75">
        <f t="shared" si="33"/>
        <v>0</v>
      </c>
      <c r="H75">
        <f t="shared" si="41"/>
        <v>0</v>
      </c>
      <c r="I75" s="4">
        <v>2039123543</v>
      </c>
      <c r="J75" s="5">
        <f t="shared" si="34"/>
        <v>3</v>
      </c>
      <c r="K75" s="5">
        <f t="shared" si="35"/>
        <v>0</v>
      </c>
      <c r="L75" s="5" t="str">
        <f t="shared" si="42"/>
        <v>127, 304, 361</v>
      </c>
      <c r="M75" s="5" t="str">
        <f t="shared" si="43"/>
        <v>MARIO ,Mário Paiva ,Mário Paiva</v>
      </c>
      <c r="N75">
        <f t="shared" si="36"/>
        <v>3</v>
      </c>
      <c r="P75">
        <f t="shared" si="37"/>
        <v>127</v>
      </c>
      <c r="Q75" t="str">
        <f t="shared" si="44"/>
        <v>, 304</v>
      </c>
      <c r="R75" t="str">
        <f t="shared" si="44"/>
        <v>, 361</v>
      </c>
      <c r="S75" t="str">
        <f t="shared" si="44"/>
        <v/>
      </c>
      <c r="T75" t="str">
        <f t="shared" si="44"/>
        <v/>
      </c>
      <c r="U75" t="str">
        <f t="shared" si="44"/>
        <v/>
      </c>
      <c r="V75" t="str">
        <f t="shared" si="44"/>
        <v/>
      </c>
      <c r="Z75" t="str">
        <f t="shared" si="38"/>
        <v>MARIO</v>
      </c>
      <c r="AA75" t="str">
        <f t="shared" si="45"/>
        <v xml:space="preserve"> ,Mário Paiva</v>
      </c>
      <c r="AB75" t="str">
        <f t="shared" si="45"/>
        <v xml:space="preserve"> ,Mário Paiva</v>
      </c>
      <c r="AC75" t="str">
        <f t="shared" si="45"/>
        <v/>
      </c>
      <c r="AD75" t="str">
        <f t="shared" si="45"/>
        <v/>
      </c>
      <c r="AE75" t="str">
        <f t="shared" si="45"/>
        <v/>
      </c>
      <c r="AF75" t="str">
        <f t="shared" si="45"/>
        <v/>
      </c>
      <c r="AV75">
        <v>74</v>
      </c>
      <c r="AW75" t="s">
        <v>12</v>
      </c>
      <c r="BM75">
        <v>74</v>
      </c>
      <c r="BN75" t="s">
        <v>12</v>
      </c>
      <c r="BO75" t="str">
        <f t="shared" si="39"/>
        <v>FRANKLY</v>
      </c>
      <c r="BP75" t="b">
        <f t="shared" si="40"/>
        <v>1</v>
      </c>
    </row>
    <row r="76" spans="1:68">
      <c r="A76">
        <v>75</v>
      </c>
      <c r="B76" t="s">
        <v>56</v>
      </c>
      <c r="C76" s="1">
        <v>2036006922</v>
      </c>
      <c r="D76" t="s">
        <v>280</v>
      </c>
      <c r="E76">
        <f>COUNTIF($C$1:C76,C76)</f>
        <v>1</v>
      </c>
      <c r="F76" t="str">
        <f t="shared" si="32"/>
        <v>20360069221</v>
      </c>
      <c r="G76">
        <f t="shared" si="33"/>
        <v>0</v>
      </c>
      <c r="H76">
        <f t="shared" si="41"/>
        <v>0</v>
      </c>
      <c r="I76" s="2">
        <v>9145650041</v>
      </c>
      <c r="J76" s="3">
        <f t="shared" si="34"/>
        <v>5</v>
      </c>
      <c r="K76" s="3">
        <f t="shared" si="35"/>
        <v>2</v>
      </c>
      <c r="L76" s="3" t="str">
        <f t="shared" si="42"/>
        <v>77, 129, 283, 363, 383</v>
      </c>
      <c r="M76" s="3" t="str">
        <f t="shared" si="43"/>
        <v>ANDERSON ,HERNANE ,HERNANE ,HERNANE pg ,HERNANE pg</v>
      </c>
      <c r="N76">
        <f t="shared" si="36"/>
        <v>3</v>
      </c>
      <c r="P76">
        <f t="shared" si="37"/>
        <v>77</v>
      </c>
      <c r="Q76" t="str">
        <f t="shared" si="44"/>
        <v>, 129</v>
      </c>
      <c r="R76" t="str">
        <f t="shared" si="44"/>
        <v>, 283</v>
      </c>
      <c r="S76" t="str">
        <f t="shared" si="44"/>
        <v>, 363</v>
      </c>
      <c r="T76" t="str">
        <f t="shared" si="44"/>
        <v>, 383</v>
      </c>
      <c r="U76" t="str">
        <f t="shared" si="44"/>
        <v/>
      </c>
      <c r="V76" t="str">
        <f t="shared" si="44"/>
        <v/>
      </c>
      <c r="Z76" t="str">
        <f t="shared" si="38"/>
        <v>ANDERSON</v>
      </c>
      <c r="AA76" t="str">
        <f t="shared" si="45"/>
        <v xml:space="preserve"> ,HERNANE</v>
      </c>
      <c r="AB76" t="str">
        <f t="shared" si="45"/>
        <v xml:space="preserve"> ,HERNANE</v>
      </c>
      <c r="AC76" t="str">
        <f t="shared" si="45"/>
        <v xml:space="preserve"> ,HERNANE pg</v>
      </c>
      <c r="AD76" t="str">
        <f t="shared" si="45"/>
        <v xml:space="preserve"> ,HERNANE pg</v>
      </c>
      <c r="AE76" t="str">
        <f t="shared" si="45"/>
        <v/>
      </c>
      <c r="AF76" t="str">
        <f t="shared" si="45"/>
        <v/>
      </c>
      <c r="AV76">
        <v>75</v>
      </c>
      <c r="AW76" t="s">
        <v>56</v>
      </c>
      <c r="BM76">
        <v>75</v>
      </c>
      <c r="BN76" t="s">
        <v>56</v>
      </c>
      <c r="BO76" t="str">
        <f t="shared" si="39"/>
        <v>CIRIS FERREIRA</v>
      </c>
      <c r="BP76" t="b">
        <f t="shared" si="40"/>
        <v>1</v>
      </c>
    </row>
    <row r="77" spans="1:68">
      <c r="A77">
        <v>76</v>
      </c>
      <c r="B77" t="s">
        <v>57</v>
      </c>
      <c r="C77" s="1">
        <v>2035719888</v>
      </c>
      <c r="D77" t="s">
        <v>280</v>
      </c>
      <c r="E77">
        <f>COUNTIF($C$1:C77,C77)</f>
        <v>1</v>
      </c>
      <c r="F77" t="str">
        <f t="shared" si="32"/>
        <v>20357198881</v>
      </c>
      <c r="G77">
        <f t="shared" si="33"/>
        <v>0</v>
      </c>
      <c r="H77">
        <f t="shared" si="41"/>
        <v>0</v>
      </c>
      <c r="I77" s="4">
        <v>4752368737</v>
      </c>
      <c r="J77" s="5">
        <f t="shared" si="34"/>
        <v>3</v>
      </c>
      <c r="K77" s="5">
        <f t="shared" si="35"/>
        <v>1</v>
      </c>
      <c r="L77" s="5" t="str">
        <f t="shared" si="42"/>
        <v>130, 145, 421</v>
      </c>
      <c r="M77" s="5" t="str">
        <f t="shared" si="43"/>
        <v>Felipe Pimentel ,Felipe Pimentel (f) ,Felipe Pimentel</v>
      </c>
      <c r="N77">
        <f t="shared" si="36"/>
        <v>2</v>
      </c>
      <c r="P77">
        <f t="shared" si="37"/>
        <v>130</v>
      </c>
      <c r="Q77" t="str">
        <f t="shared" si="44"/>
        <v>, 145</v>
      </c>
      <c r="R77" t="str">
        <f t="shared" si="44"/>
        <v>, 421</v>
      </c>
      <c r="S77" t="str">
        <f t="shared" si="44"/>
        <v/>
      </c>
      <c r="T77" t="str">
        <f t="shared" si="44"/>
        <v/>
      </c>
      <c r="U77" t="str">
        <f t="shared" si="44"/>
        <v/>
      </c>
      <c r="V77" t="str">
        <f t="shared" si="44"/>
        <v/>
      </c>
      <c r="Z77" t="str">
        <f t="shared" si="38"/>
        <v>Felipe Pimentel</v>
      </c>
      <c r="AA77" t="str">
        <f t="shared" si="45"/>
        <v xml:space="preserve"> ,Felipe Pimentel (f)</v>
      </c>
      <c r="AB77" t="str">
        <f t="shared" si="45"/>
        <v xml:space="preserve"> ,Felipe Pimentel</v>
      </c>
      <c r="AC77" t="str">
        <f t="shared" si="45"/>
        <v/>
      </c>
      <c r="AD77" t="str">
        <f t="shared" si="45"/>
        <v/>
      </c>
      <c r="AE77" t="str">
        <f t="shared" si="45"/>
        <v/>
      </c>
      <c r="AF77" t="str">
        <f t="shared" si="45"/>
        <v/>
      </c>
      <c r="AV77">
        <v>76</v>
      </c>
      <c r="AW77" t="s">
        <v>57</v>
      </c>
      <c r="BM77">
        <v>76</v>
      </c>
      <c r="BN77" t="s">
        <v>57</v>
      </c>
      <c r="BO77" t="str">
        <f t="shared" si="39"/>
        <v>FRANCISCO SOUZA</v>
      </c>
      <c r="BP77" t="b">
        <f t="shared" si="40"/>
        <v>1</v>
      </c>
    </row>
    <row r="78" spans="1:68">
      <c r="A78">
        <v>77</v>
      </c>
      <c r="B78" t="s">
        <v>58</v>
      </c>
      <c r="C78" s="1">
        <v>9145650041</v>
      </c>
      <c r="D78" t="s">
        <v>287</v>
      </c>
      <c r="E78">
        <f>COUNTIF($C$1:C78,C78)</f>
        <v>1</v>
      </c>
      <c r="F78" t="str">
        <f t="shared" si="32"/>
        <v>91456500411</v>
      </c>
      <c r="G78">
        <f t="shared" si="33"/>
        <v>0</v>
      </c>
      <c r="H78">
        <f t="shared" si="41"/>
        <v>0</v>
      </c>
      <c r="I78" s="2">
        <v>2032472211</v>
      </c>
      <c r="J78" s="3">
        <f t="shared" si="34"/>
        <v>2</v>
      </c>
      <c r="K78" s="3">
        <f t="shared" si="35"/>
        <v>0</v>
      </c>
      <c r="L78" s="3" t="str">
        <f t="shared" si="42"/>
        <v>132, 224</v>
      </c>
      <c r="M78" s="3" t="str">
        <f t="shared" si="43"/>
        <v>BRYAN ARAUJO ,BRYAN ARAUJO</v>
      </c>
      <c r="N78">
        <f t="shared" si="36"/>
        <v>2</v>
      </c>
      <c r="P78">
        <f t="shared" si="37"/>
        <v>132</v>
      </c>
      <c r="Q78" t="str">
        <f t="shared" si="44"/>
        <v>, 224</v>
      </c>
      <c r="R78" t="str">
        <f t="shared" si="44"/>
        <v/>
      </c>
      <c r="S78" t="str">
        <f t="shared" si="44"/>
        <v/>
      </c>
      <c r="T78" t="str">
        <f t="shared" si="44"/>
        <v/>
      </c>
      <c r="U78" t="str">
        <f t="shared" si="44"/>
        <v/>
      </c>
      <c r="V78" t="str">
        <f t="shared" si="44"/>
        <v/>
      </c>
      <c r="Z78" t="str">
        <f t="shared" si="38"/>
        <v>BRYAN ARAUJO</v>
      </c>
      <c r="AA78" t="str">
        <f t="shared" si="45"/>
        <v xml:space="preserve"> ,BRYAN ARAUJO</v>
      </c>
      <c r="AB78" t="str">
        <f t="shared" si="45"/>
        <v/>
      </c>
      <c r="AC78" t="str">
        <f t="shared" si="45"/>
        <v/>
      </c>
      <c r="AD78" t="str">
        <f t="shared" si="45"/>
        <v/>
      </c>
      <c r="AE78" t="str">
        <f t="shared" si="45"/>
        <v/>
      </c>
      <c r="AF78" t="str">
        <f t="shared" si="45"/>
        <v/>
      </c>
      <c r="AV78">
        <v>77</v>
      </c>
      <c r="AW78" t="s">
        <v>58</v>
      </c>
      <c r="BM78">
        <v>77</v>
      </c>
      <c r="BN78" t="s">
        <v>58</v>
      </c>
      <c r="BO78" t="str">
        <f t="shared" si="39"/>
        <v>ANDERSON</v>
      </c>
      <c r="BP78" t="b">
        <f t="shared" si="40"/>
        <v>1</v>
      </c>
    </row>
    <row r="79" spans="1:68">
      <c r="A79">
        <v>78</v>
      </c>
      <c r="B79" t="s">
        <v>59</v>
      </c>
      <c r="C79" s="1">
        <v>2039819598</v>
      </c>
      <c r="D79" t="s">
        <v>280</v>
      </c>
      <c r="E79">
        <f>COUNTIF($C$1:C79,C79)</f>
        <v>1</v>
      </c>
      <c r="F79" t="str">
        <f t="shared" si="32"/>
        <v>20398195981</v>
      </c>
      <c r="G79">
        <f t="shared" si="33"/>
        <v>1</v>
      </c>
      <c r="H79">
        <f t="shared" si="41"/>
        <v>0</v>
      </c>
      <c r="I79" s="4">
        <v>9146093241</v>
      </c>
      <c r="J79" s="5">
        <f t="shared" si="34"/>
        <v>1</v>
      </c>
      <c r="K79" s="5">
        <f t="shared" si="35"/>
        <v>1</v>
      </c>
      <c r="L79" s="5" t="str">
        <f t="shared" si="42"/>
        <v>133</v>
      </c>
      <c r="M79" s="5" t="str">
        <f t="shared" si="43"/>
        <v>RODRIGO Gonçalves pg</v>
      </c>
      <c r="N79">
        <f t="shared" si="36"/>
        <v>0</v>
      </c>
      <c r="P79">
        <f t="shared" si="37"/>
        <v>133</v>
      </c>
      <c r="Q79" t="str">
        <f t="shared" si="44"/>
        <v/>
      </c>
      <c r="R79" t="str">
        <f t="shared" si="44"/>
        <v/>
      </c>
      <c r="S79" t="str">
        <f t="shared" si="44"/>
        <v/>
      </c>
      <c r="T79" t="str">
        <f t="shared" si="44"/>
        <v/>
      </c>
      <c r="U79" t="str">
        <f t="shared" si="44"/>
        <v/>
      </c>
      <c r="V79" t="str">
        <f t="shared" si="44"/>
        <v/>
      </c>
      <c r="Z79" t="str">
        <f t="shared" si="38"/>
        <v>RODRIGO Gonçalves pg</v>
      </c>
      <c r="AA79" t="str">
        <f t="shared" si="45"/>
        <v/>
      </c>
      <c r="AB79" t="str">
        <f t="shared" si="45"/>
        <v/>
      </c>
      <c r="AC79" t="str">
        <f t="shared" si="45"/>
        <v/>
      </c>
      <c r="AD79" t="str">
        <f t="shared" si="45"/>
        <v/>
      </c>
      <c r="AE79" t="str">
        <f t="shared" si="45"/>
        <v/>
      </c>
      <c r="AF79" t="str">
        <f t="shared" si="45"/>
        <v/>
      </c>
      <c r="AV79">
        <v>78</v>
      </c>
      <c r="AW79" t="s">
        <v>59</v>
      </c>
      <c r="BM79">
        <v>78</v>
      </c>
      <c r="BN79" t="s">
        <v>59</v>
      </c>
      <c r="BO79" t="str">
        <f t="shared" si="39"/>
        <v>Rodrigo / Polly pg</v>
      </c>
      <c r="BP79" t="b">
        <f t="shared" si="40"/>
        <v>1</v>
      </c>
    </row>
    <row r="80" spans="1:68">
      <c r="A80">
        <v>79</v>
      </c>
      <c r="B80" t="s">
        <v>60</v>
      </c>
      <c r="C80" s="1">
        <v>5615309805</v>
      </c>
      <c r="D80" t="s">
        <v>280</v>
      </c>
      <c r="E80">
        <f>COUNTIF($C$1:C80,C80)</f>
        <v>1</v>
      </c>
      <c r="F80" t="str">
        <f t="shared" si="32"/>
        <v>56153098051</v>
      </c>
      <c r="G80">
        <f t="shared" si="33"/>
        <v>0</v>
      </c>
      <c r="H80">
        <f t="shared" si="41"/>
        <v>0</v>
      </c>
      <c r="I80" s="2">
        <v>2038647378</v>
      </c>
      <c r="J80" s="3">
        <f t="shared" si="34"/>
        <v>1</v>
      </c>
      <c r="K80" s="3">
        <f t="shared" si="35"/>
        <v>0</v>
      </c>
      <c r="L80" s="3" t="str">
        <f t="shared" si="42"/>
        <v>135</v>
      </c>
      <c r="M80" s="3" t="str">
        <f t="shared" si="43"/>
        <v>MARCOS SILVA</v>
      </c>
      <c r="N80">
        <f t="shared" si="36"/>
        <v>1</v>
      </c>
      <c r="P80">
        <f t="shared" si="37"/>
        <v>135</v>
      </c>
      <c r="Q80" t="str">
        <f t="shared" si="44"/>
        <v/>
      </c>
      <c r="R80" t="str">
        <f t="shared" si="44"/>
        <v/>
      </c>
      <c r="S80" t="str">
        <f t="shared" si="44"/>
        <v/>
      </c>
      <c r="T80" t="str">
        <f t="shared" si="44"/>
        <v/>
      </c>
      <c r="U80" t="str">
        <f t="shared" si="44"/>
        <v/>
      </c>
      <c r="V80" t="str">
        <f t="shared" si="44"/>
        <v/>
      </c>
      <c r="Z80" t="str">
        <f t="shared" si="38"/>
        <v>MARCOS SILVA</v>
      </c>
      <c r="AA80" t="str">
        <f t="shared" si="45"/>
        <v/>
      </c>
      <c r="AB80" t="str">
        <f t="shared" si="45"/>
        <v/>
      </c>
      <c r="AC80" t="str">
        <f t="shared" si="45"/>
        <v/>
      </c>
      <c r="AD80" t="str">
        <f t="shared" si="45"/>
        <v/>
      </c>
      <c r="AE80" t="str">
        <f t="shared" si="45"/>
        <v/>
      </c>
      <c r="AF80" t="str">
        <f t="shared" si="45"/>
        <v/>
      </c>
      <c r="AV80">
        <v>79</v>
      </c>
      <c r="AW80" t="s">
        <v>60</v>
      </c>
      <c r="BM80">
        <v>79</v>
      </c>
      <c r="BN80" t="s">
        <v>60</v>
      </c>
      <c r="BO80" t="str">
        <f t="shared" si="39"/>
        <v>LUIS SERGIO</v>
      </c>
      <c r="BP80" t="b">
        <f t="shared" si="40"/>
        <v>1</v>
      </c>
    </row>
    <row r="81" spans="1:68">
      <c r="A81">
        <v>80</v>
      </c>
      <c r="B81" t="s">
        <v>61</v>
      </c>
      <c r="D81" t="s">
        <v>281</v>
      </c>
      <c r="E81">
        <f>COUNTIF($C$1:C81,C81)</f>
        <v>0</v>
      </c>
      <c r="F81" t="str">
        <f t="shared" si="32"/>
        <v>0</v>
      </c>
      <c r="G81">
        <f t="shared" si="33"/>
        <v>0</v>
      </c>
      <c r="H81">
        <f t="shared" si="41"/>
        <v>0</v>
      </c>
      <c r="I81" s="4">
        <v>9145654952</v>
      </c>
      <c r="J81" s="5">
        <f t="shared" si="34"/>
        <v>1</v>
      </c>
      <c r="K81" s="5">
        <f t="shared" si="35"/>
        <v>0</v>
      </c>
      <c r="L81" s="5" t="str">
        <f t="shared" si="42"/>
        <v>136</v>
      </c>
      <c r="M81" s="5" t="str">
        <f t="shared" si="43"/>
        <v>MARCELO MORENO</v>
      </c>
      <c r="N81">
        <f t="shared" si="36"/>
        <v>1</v>
      </c>
      <c r="P81">
        <f t="shared" si="37"/>
        <v>136</v>
      </c>
      <c r="Q81" t="str">
        <f t="shared" si="44"/>
        <v/>
      </c>
      <c r="R81" t="str">
        <f t="shared" si="44"/>
        <v/>
      </c>
      <c r="S81" t="str">
        <f t="shared" si="44"/>
        <v/>
      </c>
      <c r="T81" t="str">
        <f t="shared" si="44"/>
        <v/>
      </c>
      <c r="U81" t="str">
        <f t="shared" si="44"/>
        <v/>
      </c>
      <c r="V81" t="str">
        <f t="shared" si="44"/>
        <v/>
      </c>
      <c r="Z81" t="str">
        <f t="shared" si="38"/>
        <v>MARCELO MORENO</v>
      </c>
      <c r="AA81" t="str">
        <f t="shared" si="45"/>
        <v/>
      </c>
      <c r="AB81" t="str">
        <f t="shared" si="45"/>
        <v/>
      </c>
      <c r="AC81" t="str">
        <f t="shared" si="45"/>
        <v/>
      </c>
      <c r="AD81" t="str">
        <f t="shared" si="45"/>
        <v/>
      </c>
      <c r="AE81" t="str">
        <f t="shared" si="45"/>
        <v/>
      </c>
      <c r="AF81" t="str">
        <f t="shared" si="45"/>
        <v/>
      </c>
      <c r="AV81">
        <v>80</v>
      </c>
      <c r="AW81" t="s">
        <v>61</v>
      </c>
      <c r="BM81">
        <v>80</v>
      </c>
      <c r="BN81" t="s">
        <v>61</v>
      </c>
      <c r="BO81" t="str">
        <f t="shared" si="39"/>
        <v>PITER SILVA</v>
      </c>
      <c r="BP81" t="b">
        <f t="shared" si="40"/>
        <v>1</v>
      </c>
    </row>
    <row r="82" spans="1:68">
      <c r="A82">
        <v>81</v>
      </c>
      <c r="B82" t="s">
        <v>366</v>
      </c>
      <c r="D82" t="s">
        <v>281</v>
      </c>
      <c r="E82">
        <f>COUNTIF($C$1:C82,C82)</f>
        <v>0</v>
      </c>
      <c r="F82" t="str">
        <f t="shared" si="32"/>
        <v>0</v>
      </c>
      <c r="G82">
        <f t="shared" si="33"/>
        <v>0</v>
      </c>
      <c r="H82">
        <f t="shared" si="41"/>
        <v>0</v>
      </c>
      <c r="I82" s="2">
        <v>2038985149</v>
      </c>
      <c r="J82" s="3">
        <f t="shared" si="34"/>
        <v>3</v>
      </c>
      <c r="K82" s="3">
        <f t="shared" si="35"/>
        <v>1</v>
      </c>
      <c r="L82" s="3" t="str">
        <f t="shared" si="42"/>
        <v>138, 139, 234</v>
      </c>
      <c r="M82" s="3" t="str">
        <f t="shared" si="43"/>
        <v>Fábio Albino ,Fábio Albino ,Fábio Albino (f)</v>
      </c>
      <c r="N82">
        <f t="shared" si="36"/>
        <v>2</v>
      </c>
      <c r="P82">
        <f t="shared" si="37"/>
        <v>138</v>
      </c>
      <c r="Q82" t="str">
        <f t="shared" ref="Q82:V91" si="46">IFERROR(", "&amp;INDEX($A$2:$A$501,MATCH($I82&amp;Q$1,$F$2:$F$501,0)),"")</f>
        <v>, 139</v>
      </c>
      <c r="R82" t="str">
        <f t="shared" si="46"/>
        <v>, 234</v>
      </c>
      <c r="S82" t="str">
        <f t="shared" si="46"/>
        <v/>
      </c>
      <c r="T82" t="str">
        <f t="shared" si="46"/>
        <v/>
      </c>
      <c r="U82" t="str">
        <f t="shared" si="46"/>
        <v/>
      </c>
      <c r="V82" t="str">
        <f t="shared" si="46"/>
        <v/>
      </c>
      <c r="Z82" t="str">
        <f t="shared" si="38"/>
        <v>Fábio Albino</v>
      </c>
      <c r="AA82" t="str">
        <f t="shared" ref="AA82:AF91" si="47">IFERROR(" ,"&amp;INDEX($B$2:$B$501,MATCH($I82&amp;AA$1,$F$2:$F$501,0)),"")</f>
        <v xml:space="preserve"> ,Fábio Albino</v>
      </c>
      <c r="AB82" t="str">
        <f t="shared" si="47"/>
        <v xml:space="preserve"> ,Fábio Albino (f)</v>
      </c>
      <c r="AC82" t="str">
        <f t="shared" si="47"/>
        <v/>
      </c>
      <c r="AD82" t="str">
        <f t="shared" si="47"/>
        <v/>
      </c>
      <c r="AE82" t="str">
        <f t="shared" si="47"/>
        <v/>
      </c>
      <c r="AF82" t="str">
        <f t="shared" si="47"/>
        <v/>
      </c>
      <c r="AV82">
        <v>81</v>
      </c>
      <c r="AW82" t="s">
        <v>58</v>
      </c>
      <c r="BM82">
        <v>81</v>
      </c>
      <c r="BN82" t="s">
        <v>58</v>
      </c>
      <c r="BO82" t="str">
        <f t="shared" si="39"/>
        <v>ANDERSON POLICARPO (checar)</v>
      </c>
      <c r="BP82" t="b">
        <f t="shared" si="40"/>
        <v>0</v>
      </c>
    </row>
    <row r="83" spans="1:68">
      <c r="A83">
        <v>82</v>
      </c>
      <c r="B83" t="s">
        <v>62</v>
      </c>
      <c r="C83" s="1">
        <v>3528902004</v>
      </c>
      <c r="D83" t="s">
        <v>280</v>
      </c>
      <c r="E83">
        <f>COUNTIF($C$1:C83,C83)</f>
        <v>1</v>
      </c>
      <c r="F83" t="str">
        <f t="shared" si="32"/>
        <v>35289020041</v>
      </c>
      <c r="G83">
        <f t="shared" si="33"/>
        <v>0</v>
      </c>
      <c r="H83">
        <f t="shared" si="41"/>
        <v>0</v>
      </c>
      <c r="I83" s="4">
        <v>9146095697</v>
      </c>
      <c r="J83" s="5">
        <f t="shared" si="34"/>
        <v>6</v>
      </c>
      <c r="K83" s="5">
        <f t="shared" si="35"/>
        <v>6</v>
      </c>
      <c r="L83" s="5" t="str">
        <f t="shared" si="42"/>
        <v>140, 272, 275, 298, 385, 488</v>
      </c>
      <c r="M83" s="5" t="str">
        <f t="shared" si="43"/>
        <v>L&amp;m wood floor pg ,L&amp;m wood floor pg ,L&amp;M WOOD FLOOR pg ,L&amp;M wood floor pg ,L&amp;M wood floor (f) ,L&amp;m wood floor (f)</v>
      </c>
      <c r="N83">
        <f t="shared" si="36"/>
        <v>0</v>
      </c>
      <c r="P83">
        <f t="shared" si="37"/>
        <v>140</v>
      </c>
      <c r="Q83" t="str">
        <f t="shared" si="46"/>
        <v>, 272</v>
      </c>
      <c r="R83" t="str">
        <f t="shared" si="46"/>
        <v>, 275</v>
      </c>
      <c r="S83" t="str">
        <f t="shared" si="46"/>
        <v>, 298</v>
      </c>
      <c r="T83" t="str">
        <f t="shared" si="46"/>
        <v>, 385</v>
      </c>
      <c r="U83" t="str">
        <f t="shared" si="46"/>
        <v>, 488</v>
      </c>
      <c r="V83" t="str">
        <f t="shared" si="46"/>
        <v/>
      </c>
      <c r="Z83" t="str">
        <f t="shared" si="38"/>
        <v>L&amp;m wood floor pg</v>
      </c>
      <c r="AA83" t="str">
        <f t="shared" si="47"/>
        <v xml:space="preserve"> ,L&amp;m wood floor pg</v>
      </c>
      <c r="AB83" t="str">
        <f t="shared" si="47"/>
        <v xml:space="preserve"> ,L&amp;M WOOD FLOOR pg</v>
      </c>
      <c r="AC83" t="str">
        <f t="shared" si="47"/>
        <v xml:space="preserve"> ,L&amp;M wood floor pg</v>
      </c>
      <c r="AD83" t="str">
        <f t="shared" si="47"/>
        <v xml:space="preserve"> ,L&amp;M wood floor (f)</v>
      </c>
      <c r="AE83" t="str">
        <f t="shared" si="47"/>
        <v xml:space="preserve"> ,L&amp;m wood floor (f)</v>
      </c>
      <c r="AF83" t="str">
        <f t="shared" si="47"/>
        <v/>
      </c>
      <c r="AV83">
        <v>82</v>
      </c>
      <c r="AW83" t="s">
        <v>62</v>
      </c>
      <c r="BM83">
        <v>82</v>
      </c>
      <c r="BN83" t="s">
        <v>62</v>
      </c>
      <c r="BO83" t="str">
        <f t="shared" si="39"/>
        <v>DEUSMAR</v>
      </c>
      <c r="BP83" t="b">
        <f t="shared" si="40"/>
        <v>1</v>
      </c>
    </row>
    <row r="84" spans="1:68">
      <c r="A84">
        <v>83</v>
      </c>
      <c r="B84" t="s">
        <v>364</v>
      </c>
      <c r="C84" s="1">
        <v>9732826254</v>
      </c>
      <c r="D84" t="s">
        <v>280</v>
      </c>
      <c r="E84">
        <f>COUNTIF($C$1:C84,C84)</f>
        <v>1</v>
      </c>
      <c r="F84" t="str">
        <f t="shared" si="32"/>
        <v>97328262541</v>
      </c>
      <c r="G84">
        <f t="shared" si="33"/>
        <v>1</v>
      </c>
      <c r="H84">
        <f t="shared" si="41"/>
        <v>0</v>
      </c>
      <c r="I84" s="2">
        <v>9147740936</v>
      </c>
      <c r="J84" s="3">
        <f t="shared" si="34"/>
        <v>3</v>
      </c>
      <c r="K84" s="3">
        <f t="shared" si="35"/>
        <v>3</v>
      </c>
      <c r="L84" s="3" t="str">
        <f t="shared" si="42"/>
        <v>142, 367, 467</v>
      </c>
      <c r="M84" s="3" t="str">
        <f t="shared" si="43"/>
        <v>Gustavo Freitas pg ,Gustavo Freitas pg ,Gustavo freitas (f)</v>
      </c>
      <c r="N84">
        <f t="shared" si="36"/>
        <v>0</v>
      </c>
      <c r="P84">
        <f t="shared" si="37"/>
        <v>142</v>
      </c>
      <c r="Q84" t="str">
        <f t="shared" si="46"/>
        <v>, 367</v>
      </c>
      <c r="R84" t="str">
        <f t="shared" si="46"/>
        <v>, 467</v>
      </c>
      <c r="S84" t="str">
        <f t="shared" si="46"/>
        <v/>
      </c>
      <c r="T84" t="str">
        <f t="shared" si="46"/>
        <v/>
      </c>
      <c r="U84" t="str">
        <f t="shared" si="46"/>
        <v/>
      </c>
      <c r="V84" t="str">
        <f t="shared" si="46"/>
        <v/>
      </c>
      <c r="Z84" t="str">
        <f t="shared" si="38"/>
        <v>Gustavo Freitas pg</v>
      </c>
      <c r="AA84" t="str">
        <f t="shared" si="47"/>
        <v xml:space="preserve"> ,Gustavo Freitas pg</v>
      </c>
      <c r="AB84" t="str">
        <f t="shared" si="47"/>
        <v xml:space="preserve"> ,Gustavo freitas (f)</v>
      </c>
      <c r="AC84" t="str">
        <f t="shared" si="47"/>
        <v/>
      </c>
      <c r="AD84" t="str">
        <f t="shared" si="47"/>
        <v/>
      </c>
      <c r="AE84" t="str">
        <f t="shared" si="47"/>
        <v/>
      </c>
      <c r="AF84" t="str">
        <f t="shared" si="47"/>
        <v/>
      </c>
      <c r="AV84">
        <v>83</v>
      </c>
      <c r="AW84" t="s">
        <v>63</v>
      </c>
      <c r="BM84">
        <v>83</v>
      </c>
      <c r="BN84" t="s">
        <v>63</v>
      </c>
      <c r="BO84" t="str">
        <f t="shared" si="39"/>
        <v>LEO OLEGARIO pg</v>
      </c>
      <c r="BP84" t="b">
        <f t="shared" si="40"/>
        <v>0</v>
      </c>
    </row>
    <row r="85" spans="1:68">
      <c r="A85">
        <v>84</v>
      </c>
      <c r="B85" t="s">
        <v>396</v>
      </c>
      <c r="C85" s="1">
        <v>5162442819</v>
      </c>
      <c r="D85" t="s">
        <v>280</v>
      </c>
      <c r="E85">
        <f>COUNTIF($C$1:C85,C85)</f>
        <v>1</v>
      </c>
      <c r="F85" t="str">
        <f t="shared" si="32"/>
        <v>51624428191</v>
      </c>
      <c r="G85">
        <f t="shared" si="33"/>
        <v>0</v>
      </c>
      <c r="H85">
        <f t="shared" si="41"/>
        <v>1</v>
      </c>
      <c r="I85" s="4">
        <v>9144862420</v>
      </c>
      <c r="J85" s="5">
        <f t="shared" si="34"/>
        <v>1</v>
      </c>
      <c r="K85" s="5">
        <f t="shared" si="35"/>
        <v>1</v>
      </c>
      <c r="L85" s="5" t="str">
        <f t="shared" si="42"/>
        <v>143</v>
      </c>
      <c r="M85" s="5" t="str">
        <f t="shared" si="43"/>
        <v>GUILHER BORGES pg</v>
      </c>
      <c r="N85">
        <f t="shared" si="36"/>
        <v>0</v>
      </c>
      <c r="P85">
        <f t="shared" si="37"/>
        <v>143</v>
      </c>
      <c r="Q85" t="str">
        <f t="shared" si="46"/>
        <v/>
      </c>
      <c r="R85" t="str">
        <f t="shared" si="46"/>
        <v/>
      </c>
      <c r="S85" t="str">
        <f t="shared" si="46"/>
        <v/>
      </c>
      <c r="T85" t="str">
        <f t="shared" si="46"/>
        <v/>
      </c>
      <c r="U85" t="str">
        <f t="shared" si="46"/>
        <v/>
      </c>
      <c r="V85" t="str">
        <f t="shared" si="46"/>
        <v/>
      </c>
      <c r="Z85" t="str">
        <f t="shared" si="38"/>
        <v>GUILHER BORGES pg</v>
      </c>
      <c r="AA85" t="str">
        <f t="shared" si="47"/>
        <v/>
      </c>
      <c r="AB85" t="str">
        <f t="shared" si="47"/>
        <v/>
      </c>
      <c r="AC85" t="str">
        <f t="shared" si="47"/>
        <v/>
      </c>
      <c r="AD85" t="str">
        <f t="shared" si="47"/>
        <v/>
      </c>
      <c r="AE85" t="str">
        <f t="shared" si="47"/>
        <v/>
      </c>
      <c r="AF85" t="str">
        <f t="shared" si="47"/>
        <v/>
      </c>
      <c r="AV85">
        <v>84</v>
      </c>
      <c r="AW85" t="s">
        <v>64</v>
      </c>
      <c r="BM85">
        <v>84</v>
      </c>
      <c r="BN85" t="s">
        <v>64</v>
      </c>
      <c r="BO85" t="str">
        <f t="shared" si="39"/>
        <v>Carlos de Paula (f)</v>
      </c>
      <c r="BP85" t="b">
        <f t="shared" si="40"/>
        <v>0</v>
      </c>
    </row>
    <row r="86" spans="1:68">
      <c r="A86">
        <v>85</v>
      </c>
      <c r="B86" t="s">
        <v>347</v>
      </c>
      <c r="C86" s="1">
        <v>2035229574</v>
      </c>
      <c r="D86" t="s">
        <v>280</v>
      </c>
      <c r="E86">
        <f>COUNTIF($C$1:C86,C86)</f>
        <v>1</v>
      </c>
      <c r="F86" t="str">
        <f t="shared" si="32"/>
        <v>20352295741</v>
      </c>
      <c r="G86">
        <f t="shared" si="33"/>
        <v>0</v>
      </c>
      <c r="H86">
        <f t="shared" si="41"/>
        <v>0</v>
      </c>
      <c r="I86" s="2">
        <v>9144901203</v>
      </c>
      <c r="J86" s="3">
        <f t="shared" si="34"/>
        <v>2</v>
      </c>
      <c r="K86" s="3">
        <f t="shared" si="35"/>
        <v>2</v>
      </c>
      <c r="L86" s="3" t="str">
        <f t="shared" si="42"/>
        <v>146, 377</v>
      </c>
      <c r="M86" s="3" t="str">
        <f t="shared" si="43"/>
        <v>WENDER pg ,WENDER pg</v>
      </c>
      <c r="N86">
        <f t="shared" si="36"/>
        <v>0</v>
      </c>
      <c r="P86">
        <f t="shared" si="37"/>
        <v>146</v>
      </c>
      <c r="Q86" t="str">
        <f t="shared" si="46"/>
        <v>, 377</v>
      </c>
      <c r="R86" t="str">
        <f t="shared" si="46"/>
        <v/>
      </c>
      <c r="S86" t="str">
        <f t="shared" si="46"/>
        <v/>
      </c>
      <c r="T86" t="str">
        <f t="shared" si="46"/>
        <v/>
      </c>
      <c r="U86" t="str">
        <f t="shared" si="46"/>
        <v/>
      </c>
      <c r="V86" t="str">
        <f t="shared" si="46"/>
        <v/>
      </c>
      <c r="Z86" t="str">
        <f t="shared" si="38"/>
        <v>WENDER pg</v>
      </c>
      <c r="AA86" t="str">
        <f t="shared" si="47"/>
        <v xml:space="preserve"> ,WENDER pg</v>
      </c>
      <c r="AB86" t="str">
        <f t="shared" si="47"/>
        <v/>
      </c>
      <c r="AC86" t="str">
        <f t="shared" si="47"/>
        <v/>
      </c>
      <c r="AD86" t="str">
        <f t="shared" si="47"/>
        <v/>
      </c>
      <c r="AE86" t="str">
        <f t="shared" si="47"/>
        <v/>
      </c>
      <c r="AF86" t="str">
        <f t="shared" si="47"/>
        <v/>
      </c>
      <c r="AV86">
        <v>85</v>
      </c>
      <c r="AW86" t="s">
        <v>65</v>
      </c>
      <c r="BM86">
        <v>85</v>
      </c>
      <c r="BN86" t="s">
        <v>347</v>
      </c>
      <c r="BO86" t="str">
        <f t="shared" si="39"/>
        <v>DANIEL jet</v>
      </c>
      <c r="BP86" t="b">
        <f t="shared" si="40"/>
        <v>1</v>
      </c>
    </row>
    <row r="87" spans="1:68">
      <c r="A87">
        <v>86</v>
      </c>
      <c r="B87" t="s">
        <v>66</v>
      </c>
      <c r="C87" s="1">
        <v>2036925867</v>
      </c>
      <c r="D87" t="s">
        <v>280</v>
      </c>
      <c r="E87">
        <f>COUNTIF($C$1:C87,C87)</f>
        <v>1</v>
      </c>
      <c r="F87" t="str">
        <f t="shared" si="32"/>
        <v>20369258671</v>
      </c>
      <c r="G87">
        <f t="shared" si="33"/>
        <v>0</v>
      </c>
      <c r="H87">
        <f t="shared" si="41"/>
        <v>0</v>
      </c>
      <c r="I87" s="4">
        <v>9144175819</v>
      </c>
      <c r="J87" s="5">
        <f t="shared" si="34"/>
        <v>3</v>
      </c>
      <c r="K87" s="5">
        <f t="shared" si="35"/>
        <v>3</v>
      </c>
      <c r="L87" s="5" t="str">
        <f t="shared" si="42"/>
        <v>147, 313, 372</v>
      </c>
      <c r="M87" s="5" t="str">
        <f t="shared" si="43"/>
        <v>ANDERSON POLICARPO pg ,ANDERSON POLICARPO pg ,ANDERSON POLICARPO pg</v>
      </c>
      <c r="N87">
        <f t="shared" si="36"/>
        <v>0</v>
      </c>
      <c r="P87">
        <f t="shared" si="37"/>
        <v>147</v>
      </c>
      <c r="Q87" t="str">
        <f t="shared" si="46"/>
        <v>, 313</v>
      </c>
      <c r="R87" t="str">
        <f t="shared" si="46"/>
        <v>, 372</v>
      </c>
      <c r="S87" t="str">
        <f t="shared" si="46"/>
        <v/>
      </c>
      <c r="T87" t="str">
        <f t="shared" si="46"/>
        <v/>
      </c>
      <c r="U87" t="str">
        <f t="shared" si="46"/>
        <v/>
      </c>
      <c r="V87" t="str">
        <f t="shared" si="46"/>
        <v/>
      </c>
      <c r="Z87" t="str">
        <f t="shared" si="38"/>
        <v>ANDERSON POLICARPO pg</v>
      </c>
      <c r="AA87" t="str">
        <f t="shared" si="47"/>
        <v xml:space="preserve"> ,ANDERSON POLICARPO pg</v>
      </c>
      <c r="AB87" t="str">
        <f t="shared" si="47"/>
        <v xml:space="preserve"> ,ANDERSON POLICARPO pg</v>
      </c>
      <c r="AC87" t="str">
        <f t="shared" si="47"/>
        <v/>
      </c>
      <c r="AD87" t="str">
        <f t="shared" si="47"/>
        <v/>
      </c>
      <c r="AE87" t="str">
        <f t="shared" si="47"/>
        <v/>
      </c>
      <c r="AF87" t="str">
        <f t="shared" si="47"/>
        <v/>
      </c>
      <c r="AV87">
        <v>86</v>
      </c>
      <c r="AW87" t="s">
        <v>66</v>
      </c>
      <c r="BM87">
        <v>86</v>
      </c>
      <c r="BN87" t="s">
        <v>66</v>
      </c>
      <c r="BO87" t="str">
        <f t="shared" si="39"/>
        <v>ANDRE RAY</v>
      </c>
      <c r="BP87" t="b">
        <f t="shared" si="40"/>
        <v>1</v>
      </c>
    </row>
    <row r="88" spans="1:68">
      <c r="A88">
        <v>87</v>
      </c>
      <c r="B88" t="s">
        <v>299</v>
      </c>
      <c r="C88" s="1">
        <v>2035401836</v>
      </c>
      <c r="D88" t="s">
        <v>280</v>
      </c>
      <c r="E88">
        <f>COUNTIF($C$1:C88,C88)</f>
        <v>1</v>
      </c>
      <c r="F88" t="str">
        <f t="shared" si="32"/>
        <v>20354018361</v>
      </c>
      <c r="G88">
        <f t="shared" si="33"/>
        <v>1</v>
      </c>
      <c r="H88">
        <f t="shared" si="41"/>
        <v>0</v>
      </c>
      <c r="I88" s="2">
        <v>9144381725</v>
      </c>
      <c r="J88" s="3">
        <f t="shared" si="34"/>
        <v>3</v>
      </c>
      <c r="K88" s="3">
        <f t="shared" si="35"/>
        <v>3</v>
      </c>
      <c r="L88" s="3" t="str">
        <f t="shared" si="42"/>
        <v>148, 215, 428</v>
      </c>
      <c r="M88" s="3" t="str">
        <f t="shared" si="43"/>
        <v>Juliano Farias /gustavo pg ,Juliano Farias /gustavo pg ,Juliano fritas / Gustavo (f)</v>
      </c>
      <c r="N88">
        <f t="shared" si="36"/>
        <v>0</v>
      </c>
      <c r="P88">
        <f t="shared" si="37"/>
        <v>148</v>
      </c>
      <c r="Q88" t="str">
        <f t="shared" si="46"/>
        <v>, 215</v>
      </c>
      <c r="R88" t="str">
        <f t="shared" si="46"/>
        <v>, 428</v>
      </c>
      <c r="S88" t="str">
        <f t="shared" si="46"/>
        <v/>
      </c>
      <c r="T88" t="str">
        <f t="shared" si="46"/>
        <v/>
      </c>
      <c r="U88" t="str">
        <f t="shared" si="46"/>
        <v/>
      </c>
      <c r="V88" t="str">
        <f t="shared" si="46"/>
        <v/>
      </c>
      <c r="Z88" t="str">
        <f t="shared" si="38"/>
        <v>Juliano Farias /gustavo pg</v>
      </c>
      <c r="AA88" t="str">
        <f t="shared" si="47"/>
        <v xml:space="preserve"> ,Juliano Farias /gustavo pg</v>
      </c>
      <c r="AB88" t="str">
        <f t="shared" si="47"/>
        <v xml:space="preserve"> ,Juliano fritas / Gustavo (f)</v>
      </c>
      <c r="AC88" t="str">
        <f t="shared" si="47"/>
        <v/>
      </c>
      <c r="AD88" t="str">
        <f t="shared" si="47"/>
        <v/>
      </c>
      <c r="AE88" t="str">
        <f t="shared" si="47"/>
        <v/>
      </c>
      <c r="AF88" t="str">
        <f t="shared" si="47"/>
        <v/>
      </c>
      <c r="AV88">
        <v>87</v>
      </c>
      <c r="AW88" t="s">
        <v>67</v>
      </c>
      <c r="BM88">
        <v>87</v>
      </c>
      <c r="BN88" t="s">
        <v>299</v>
      </c>
      <c r="BO88" t="str">
        <f t="shared" si="39"/>
        <v>Fabiano Alves pg</v>
      </c>
      <c r="BP88" t="b">
        <f t="shared" si="40"/>
        <v>1</v>
      </c>
    </row>
    <row r="89" spans="1:68">
      <c r="A89">
        <v>88</v>
      </c>
      <c r="B89" t="s">
        <v>362</v>
      </c>
      <c r="C89" s="1">
        <v>2035158719</v>
      </c>
      <c r="D89" t="s">
        <v>283</v>
      </c>
      <c r="E89">
        <f>COUNTIF($C$1:C89,C89)</f>
        <v>4</v>
      </c>
      <c r="F89" t="str">
        <f t="shared" si="32"/>
        <v>20351587194</v>
      </c>
      <c r="G89">
        <f t="shared" si="33"/>
        <v>1</v>
      </c>
      <c r="H89">
        <f t="shared" si="41"/>
        <v>0</v>
      </c>
      <c r="I89" s="4">
        <v>9148069703</v>
      </c>
      <c r="J89" s="5">
        <f t="shared" si="34"/>
        <v>2</v>
      </c>
      <c r="K89" s="5">
        <f t="shared" si="35"/>
        <v>0</v>
      </c>
      <c r="L89" s="5" t="str">
        <f t="shared" si="42"/>
        <v>149, 155</v>
      </c>
      <c r="M89" s="5" t="str">
        <f t="shared" si="43"/>
        <v>CLAUDIO (DINHO ) ,CLAUDIO (DINHO0</v>
      </c>
      <c r="N89">
        <f t="shared" si="36"/>
        <v>2</v>
      </c>
      <c r="P89">
        <f t="shared" si="37"/>
        <v>149</v>
      </c>
      <c r="Q89" t="str">
        <f t="shared" si="46"/>
        <v>, 155</v>
      </c>
      <c r="R89" t="str">
        <f t="shared" si="46"/>
        <v/>
      </c>
      <c r="S89" t="str">
        <f t="shared" si="46"/>
        <v/>
      </c>
      <c r="T89" t="str">
        <f t="shared" si="46"/>
        <v/>
      </c>
      <c r="U89" t="str">
        <f t="shared" si="46"/>
        <v/>
      </c>
      <c r="V89" t="str">
        <f t="shared" si="46"/>
        <v/>
      </c>
      <c r="Z89" t="str">
        <f t="shared" si="38"/>
        <v>CLAUDIO (DINHO )</v>
      </c>
      <c r="AA89" t="str">
        <f t="shared" si="47"/>
        <v xml:space="preserve"> ,CLAUDIO (DINHO0</v>
      </c>
      <c r="AB89" t="str">
        <f t="shared" si="47"/>
        <v/>
      </c>
      <c r="AC89" t="str">
        <f t="shared" si="47"/>
        <v/>
      </c>
      <c r="AD89" t="str">
        <f t="shared" si="47"/>
        <v/>
      </c>
      <c r="AE89" t="str">
        <f t="shared" si="47"/>
        <v/>
      </c>
      <c r="AF89" t="str">
        <f t="shared" si="47"/>
        <v/>
      </c>
      <c r="AV89">
        <v>88</v>
      </c>
      <c r="AW89" t="s">
        <v>68</v>
      </c>
      <c r="BM89">
        <v>88</v>
      </c>
      <c r="BN89" t="s">
        <v>68</v>
      </c>
      <c r="BO89" t="str">
        <f t="shared" si="39"/>
        <v>CESAR pg</v>
      </c>
      <c r="BP89" t="b">
        <f t="shared" si="40"/>
        <v>0</v>
      </c>
    </row>
    <row r="90" spans="1:68">
      <c r="A90">
        <v>89</v>
      </c>
      <c r="B90" t="s">
        <v>69</v>
      </c>
      <c r="C90" s="1">
        <v>9145656120</v>
      </c>
      <c r="D90" t="s">
        <v>280</v>
      </c>
      <c r="E90">
        <f>COUNTIF($C$1:C90,C90)</f>
        <v>1</v>
      </c>
      <c r="F90" t="str">
        <f t="shared" si="32"/>
        <v>91456561201</v>
      </c>
      <c r="G90">
        <f t="shared" si="33"/>
        <v>0</v>
      </c>
      <c r="H90">
        <f t="shared" si="41"/>
        <v>0</v>
      </c>
      <c r="I90" s="2">
        <v>2039524111</v>
      </c>
      <c r="J90" s="3">
        <f t="shared" si="34"/>
        <v>3</v>
      </c>
      <c r="K90" s="3">
        <f t="shared" si="35"/>
        <v>1</v>
      </c>
      <c r="L90" s="3" t="str">
        <f t="shared" si="42"/>
        <v>151, 202, 360</v>
      </c>
      <c r="M90" s="3" t="str">
        <f t="shared" si="43"/>
        <v>Leandro at lpslimo ,Leandro at lpslimo ,Leandro at lpslimo (f)</v>
      </c>
      <c r="N90">
        <f t="shared" si="36"/>
        <v>2</v>
      </c>
      <c r="P90">
        <f t="shared" si="37"/>
        <v>151</v>
      </c>
      <c r="Q90" t="str">
        <f t="shared" si="46"/>
        <v>, 202</v>
      </c>
      <c r="R90" t="str">
        <f t="shared" si="46"/>
        <v>, 360</v>
      </c>
      <c r="S90" t="str">
        <f t="shared" si="46"/>
        <v/>
      </c>
      <c r="T90" t="str">
        <f t="shared" si="46"/>
        <v/>
      </c>
      <c r="U90" t="str">
        <f t="shared" si="46"/>
        <v/>
      </c>
      <c r="V90" t="str">
        <f t="shared" si="46"/>
        <v/>
      </c>
      <c r="Z90" t="str">
        <f t="shared" si="38"/>
        <v>Leandro at lpslimo</v>
      </c>
      <c r="AA90" t="str">
        <f t="shared" si="47"/>
        <v xml:space="preserve"> ,Leandro at lpslimo</v>
      </c>
      <c r="AB90" t="str">
        <f t="shared" si="47"/>
        <v xml:space="preserve"> ,Leandro at lpslimo (f)</v>
      </c>
      <c r="AC90" t="str">
        <f t="shared" si="47"/>
        <v/>
      </c>
      <c r="AD90" t="str">
        <f t="shared" si="47"/>
        <v/>
      </c>
      <c r="AE90" t="str">
        <f t="shared" si="47"/>
        <v/>
      </c>
      <c r="AF90" t="str">
        <f t="shared" si="47"/>
        <v/>
      </c>
      <c r="AV90">
        <v>89</v>
      </c>
      <c r="AW90" t="s">
        <v>69</v>
      </c>
      <c r="BM90">
        <v>89</v>
      </c>
      <c r="BN90" t="s">
        <v>69</v>
      </c>
      <c r="BO90" t="str">
        <f t="shared" si="39"/>
        <v>JOAO V CARDOSO</v>
      </c>
      <c r="BP90" t="b">
        <f t="shared" si="40"/>
        <v>1</v>
      </c>
    </row>
    <row r="91" spans="1:68">
      <c r="A91">
        <v>90</v>
      </c>
      <c r="B91" t="s">
        <v>70</v>
      </c>
      <c r="C91" s="1">
        <v>2035439473</v>
      </c>
      <c r="D91" t="s">
        <v>284</v>
      </c>
      <c r="E91">
        <f>COUNTIF($C$1:C91,C91)</f>
        <v>1</v>
      </c>
      <c r="F91" t="str">
        <f t="shared" si="32"/>
        <v>20354394731</v>
      </c>
      <c r="G91">
        <f t="shared" si="33"/>
        <v>0</v>
      </c>
      <c r="H91">
        <f t="shared" si="41"/>
        <v>0</v>
      </c>
      <c r="I91" s="4">
        <v>2039804388</v>
      </c>
      <c r="J91" s="5">
        <f t="shared" si="34"/>
        <v>1</v>
      </c>
      <c r="K91" s="5">
        <f t="shared" si="35"/>
        <v>1</v>
      </c>
      <c r="L91" s="5" t="str">
        <f t="shared" si="42"/>
        <v>152</v>
      </c>
      <c r="M91" s="5" t="str">
        <f t="shared" si="43"/>
        <v>Afonso Eletrrcista pg</v>
      </c>
      <c r="N91">
        <f t="shared" si="36"/>
        <v>0</v>
      </c>
      <c r="P91">
        <f t="shared" si="37"/>
        <v>152</v>
      </c>
      <c r="Q91" t="str">
        <f t="shared" si="46"/>
        <v/>
      </c>
      <c r="R91" t="str">
        <f t="shared" si="46"/>
        <v/>
      </c>
      <c r="S91" t="str">
        <f t="shared" si="46"/>
        <v/>
      </c>
      <c r="T91" t="str">
        <f t="shared" si="46"/>
        <v/>
      </c>
      <c r="U91" t="str">
        <f t="shared" si="46"/>
        <v/>
      </c>
      <c r="V91" t="str">
        <f t="shared" si="46"/>
        <v/>
      </c>
      <c r="Z91" t="str">
        <f t="shared" si="38"/>
        <v>Afonso Eletrrcista pg</v>
      </c>
      <c r="AA91" t="str">
        <f t="shared" si="47"/>
        <v/>
      </c>
      <c r="AB91" t="str">
        <f t="shared" si="47"/>
        <v/>
      </c>
      <c r="AC91" t="str">
        <f t="shared" si="47"/>
        <v/>
      </c>
      <c r="AD91" t="str">
        <f t="shared" si="47"/>
        <v/>
      </c>
      <c r="AE91" t="str">
        <f t="shared" si="47"/>
        <v/>
      </c>
      <c r="AF91" t="str">
        <f t="shared" si="47"/>
        <v/>
      </c>
      <c r="AV91">
        <v>90</v>
      </c>
      <c r="AW91" t="s">
        <v>70</v>
      </c>
      <c r="BM91">
        <v>90</v>
      </c>
      <c r="BN91" t="s">
        <v>70</v>
      </c>
      <c r="BO91" t="str">
        <f t="shared" si="39"/>
        <v>FE EM DEUS 2035439473</v>
      </c>
      <c r="BP91" t="b">
        <f t="shared" si="40"/>
        <v>1</v>
      </c>
    </row>
    <row r="92" spans="1:68">
      <c r="A92">
        <v>91</v>
      </c>
      <c r="B92" t="s">
        <v>71</v>
      </c>
      <c r="C92" s="1">
        <v>2034285344</v>
      </c>
      <c r="D92" t="s">
        <v>280</v>
      </c>
      <c r="E92">
        <f>COUNTIF($C$1:C92,C92)</f>
        <v>1</v>
      </c>
      <c r="F92" t="str">
        <f t="shared" si="32"/>
        <v>20342853441</v>
      </c>
      <c r="G92">
        <f t="shared" si="33"/>
        <v>0</v>
      </c>
      <c r="H92">
        <f t="shared" si="41"/>
        <v>0</v>
      </c>
      <c r="I92" s="2">
        <v>2035591129</v>
      </c>
      <c r="J92" s="3">
        <f t="shared" si="34"/>
        <v>3</v>
      </c>
      <c r="K92" s="3">
        <f t="shared" si="35"/>
        <v>3</v>
      </c>
      <c r="L92" s="3" t="str">
        <f t="shared" si="42"/>
        <v>153, 158, 160</v>
      </c>
      <c r="M92" s="3" t="str">
        <f t="shared" si="43"/>
        <v>Fernando Carvalho pg ,Fernando Carvalho pg ,Fernando Carvalho (f)</v>
      </c>
      <c r="N92">
        <f t="shared" si="36"/>
        <v>0</v>
      </c>
      <c r="P92">
        <f t="shared" si="37"/>
        <v>153</v>
      </c>
      <c r="Q92" t="str">
        <f t="shared" ref="Q92:V101" si="48">IFERROR(", "&amp;INDEX($A$2:$A$501,MATCH($I92&amp;Q$1,$F$2:$F$501,0)),"")</f>
        <v>, 158</v>
      </c>
      <c r="R92" t="str">
        <f t="shared" si="48"/>
        <v>, 160</v>
      </c>
      <c r="S92" t="str">
        <f t="shared" si="48"/>
        <v/>
      </c>
      <c r="T92" t="str">
        <f t="shared" si="48"/>
        <v/>
      </c>
      <c r="U92" t="str">
        <f t="shared" si="48"/>
        <v/>
      </c>
      <c r="V92" t="str">
        <f t="shared" si="48"/>
        <v/>
      </c>
      <c r="Z92" t="str">
        <f t="shared" si="38"/>
        <v>Fernando Carvalho pg</v>
      </c>
      <c r="AA92" t="str">
        <f t="shared" ref="AA92:AF101" si="49">IFERROR(" ,"&amp;INDEX($B$2:$B$501,MATCH($I92&amp;AA$1,$F$2:$F$501,0)),"")</f>
        <v xml:space="preserve"> ,Fernando Carvalho pg</v>
      </c>
      <c r="AB92" t="str">
        <f t="shared" si="49"/>
        <v xml:space="preserve"> ,Fernando Carvalho (f)</v>
      </c>
      <c r="AC92" t="str">
        <f t="shared" si="49"/>
        <v/>
      </c>
      <c r="AD92" t="str">
        <f t="shared" si="49"/>
        <v/>
      </c>
      <c r="AE92" t="str">
        <f t="shared" si="49"/>
        <v/>
      </c>
      <c r="AF92" t="str">
        <f t="shared" si="49"/>
        <v/>
      </c>
      <c r="AV92">
        <v>91</v>
      </c>
      <c r="AW92" t="s">
        <v>71</v>
      </c>
      <c r="BM92">
        <v>91</v>
      </c>
      <c r="BN92" t="s">
        <v>71</v>
      </c>
      <c r="BO92" t="str">
        <f t="shared" si="39"/>
        <v>BINHO</v>
      </c>
      <c r="BP92" t="b">
        <f t="shared" si="40"/>
        <v>1</v>
      </c>
    </row>
    <row r="93" spans="1:68">
      <c r="A93">
        <v>92</v>
      </c>
      <c r="B93" t="s">
        <v>72</v>
      </c>
      <c r="C93" s="1">
        <v>2035239177</v>
      </c>
      <c r="D93" t="s">
        <v>280</v>
      </c>
      <c r="E93">
        <f>COUNTIF($C$1:C93,C93)</f>
        <v>1</v>
      </c>
      <c r="F93" t="str">
        <f t="shared" si="32"/>
        <v>20352391771</v>
      </c>
      <c r="G93">
        <f t="shared" si="33"/>
        <v>0</v>
      </c>
      <c r="H93">
        <f t="shared" si="41"/>
        <v>0</v>
      </c>
      <c r="I93" s="4">
        <v>9143569767</v>
      </c>
      <c r="J93" s="5">
        <f t="shared" si="34"/>
        <v>3</v>
      </c>
      <c r="K93" s="5">
        <f t="shared" si="35"/>
        <v>3</v>
      </c>
      <c r="L93" s="5" t="str">
        <f t="shared" si="42"/>
        <v>154, 350, 490</v>
      </c>
      <c r="M93" s="5" t="str">
        <f t="shared" si="43"/>
        <v>Eduardo tile pg ,Eduardo tile (f) ,Eduardo tile pg</v>
      </c>
      <c r="N93">
        <f t="shared" si="36"/>
        <v>0</v>
      </c>
      <c r="P93">
        <f t="shared" si="37"/>
        <v>154</v>
      </c>
      <c r="Q93" t="str">
        <f t="shared" si="48"/>
        <v>, 350</v>
      </c>
      <c r="R93" t="str">
        <f t="shared" si="48"/>
        <v>, 490</v>
      </c>
      <c r="S93" t="str">
        <f t="shared" si="48"/>
        <v/>
      </c>
      <c r="T93" t="str">
        <f t="shared" si="48"/>
        <v/>
      </c>
      <c r="U93" t="str">
        <f t="shared" si="48"/>
        <v/>
      </c>
      <c r="V93" t="str">
        <f t="shared" si="48"/>
        <v/>
      </c>
      <c r="Z93" t="str">
        <f t="shared" si="38"/>
        <v>Eduardo tile pg</v>
      </c>
      <c r="AA93" t="str">
        <f t="shared" si="49"/>
        <v xml:space="preserve"> ,Eduardo tile (f)</v>
      </c>
      <c r="AB93" t="str">
        <f t="shared" si="49"/>
        <v xml:space="preserve"> ,Eduardo tile pg</v>
      </c>
      <c r="AC93" t="str">
        <f t="shared" si="49"/>
        <v/>
      </c>
      <c r="AD93" t="str">
        <f t="shared" si="49"/>
        <v/>
      </c>
      <c r="AE93" t="str">
        <f t="shared" si="49"/>
        <v/>
      </c>
      <c r="AF93" t="str">
        <f t="shared" si="49"/>
        <v/>
      </c>
      <c r="AV93">
        <v>92</v>
      </c>
      <c r="AW93" t="s">
        <v>72</v>
      </c>
      <c r="BM93">
        <v>92</v>
      </c>
      <c r="BN93" t="s">
        <v>72</v>
      </c>
      <c r="BO93" t="str">
        <f t="shared" si="39"/>
        <v>CHARLLIE</v>
      </c>
      <c r="BP93" t="b">
        <f t="shared" si="40"/>
        <v>1</v>
      </c>
    </row>
    <row r="94" spans="1:68">
      <c r="A94">
        <v>93</v>
      </c>
      <c r="B94" t="s">
        <v>370</v>
      </c>
      <c r="C94" s="1">
        <v>9144839842</v>
      </c>
      <c r="D94" t="s">
        <v>280</v>
      </c>
      <c r="E94">
        <f>COUNTIF($C$1:C94,C94)</f>
        <v>1</v>
      </c>
      <c r="F94" t="str">
        <f t="shared" si="32"/>
        <v>91448398421</v>
      </c>
      <c r="G94">
        <f t="shared" si="33"/>
        <v>0</v>
      </c>
      <c r="H94">
        <f t="shared" si="41"/>
        <v>0</v>
      </c>
      <c r="I94" s="2">
        <v>9144904255</v>
      </c>
      <c r="J94" s="3">
        <f t="shared" si="34"/>
        <v>6</v>
      </c>
      <c r="K94" s="3">
        <f t="shared" si="35"/>
        <v>6</v>
      </c>
      <c r="L94" s="3" t="str">
        <f t="shared" si="42"/>
        <v>156, 241, 342, 349, 355, 430</v>
      </c>
      <c r="M94" s="3" t="str">
        <f t="shared" si="43"/>
        <v>Carlos Serafim (f) ,CARLOS SERAFIM pg ,CARLOS SERAFIM. Pg ,PEDRO CARLOS pg ,Carlos Serafim Pg ,Carlos Serafim pg</v>
      </c>
      <c r="N94">
        <f t="shared" si="36"/>
        <v>0</v>
      </c>
      <c r="P94">
        <f t="shared" si="37"/>
        <v>156</v>
      </c>
      <c r="Q94" t="str">
        <f t="shared" si="48"/>
        <v>, 241</v>
      </c>
      <c r="R94" t="str">
        <f t="shared" si="48"/>
        <v>, 342</v>
      </c>
      <c r="S94" t="str">
        <f t="shared" si="48"/>
        <v>, 349</v>
      </c>
      <c r="T94" t="str">
        <f t="shared" si="48"/>
        <v>, 355</v>
      </c>
      <c r="U94" t="str">
        <f t="shared" si="48"/>
        <v>, 430</v>
      </c>
      <c r="V94" t="str">
        <f t="shared" si="48"/>
        <v/>
      </c>
      <c r="Z94" t="str">
        <f t="shared" si="38"/>
        <v>Carlos Serafim (f)</v>
      </c>
      <c r="AA94" t="str">
        <f t="shared" si="49"/>
        <v xml:space="preserve"> ,CARLOS SERAFIM pg</v>
      </c>
      <c r="AB94" t="str">
        <f t="shared" si="49"/>
        <v xml:space="preserve"> ,CARLOS SERAFIM. Pg</v>
      </c>
      <c r="AC94" t="str">
        <f t="shared" si="49"/>
        <v xml:space="preserve"> ,PEDRO CARLOS pg</v>
      </c>
      <c r="AD94" t="str">
        <f t="shared" si="49"/>
        <v xml:space="preserve"> ,Carlos Serafim Pg</v>
      </c>
      <c r="AE94" t="str">
        <f t="shared" si="49"/>
        <v xml:space="preserve"> ,Carlos Serafim pg</v>
      </c>
      <c r="AF94" t="str">
        <f t="shared" si="49"/>
        <v/>
      </c>
      <c r="AV94">
        <v>93</v>
      </c>
      <c r="AW94" t="s">
        <v>73</v>
      </c>
      <c r="BM94">
        <v>93</v>
      </c>
      <c r="BN94" t="s">
        <v>73</v>
      </c>
      <c r="BO94" t="str">
        <f t="shared" si="39"/>
        <v xml:space="preserve">Joe (Juca) Guimaraes </v>
      </c>
      <c r="BP94" t="b">
        <f t="shared" si="40"/>
        <v>0</v>
      </c>
    </row>
    <row r="95" spans="1:68">
      <c r="A95">
        <v>94</v>
      </c>
      <c r="B95" t="s">
        <v>74</v>
      </c>
      <c r="C95" s="1">
        <v>9144690686</v>
      </c>
      <c r="D95" t="s">
        <v>293</v>
      </c>
      <c r="E95">
        <f>COUNTIF($C$1:C95,C95)</f>
        <v>1</v>
      </c>
      <c r="F95" t="str">
        <f t="shared" si="32"/>
        <v>91446906861</v>
      </c>
      <c r="G95">
        <f t="shared" si="33"/>
        <v>0</v>
      </c>
      <c r="H95">
        <f t="shared" si="41"/>
        <v>0</v>
      </c>
      <c r="I95" s="4">
        <v>5511961917900</v>
      </c>
      <c r="J95" s="5">
        <f t="shared" si="34"/>
        <v>6</v>
      </c>
      <c r="K95" s="5">
        <f t="shared" si="35"/>
        <v>1</v>
      </c>
      <c r="L95" s="5" t="str">
        <f t="shared" si="42"/>
        <v>157, 161, 260, 417, 442, 457</v>
      </c>
      <c r="M95" s="5" t="str">
        <f t="shared" si="43"/>
        <v>KARLA ,KARLA ,Karla Panela (f) ,Karla panela ,Karla ,Karla Pamela</v>
      </c>
      <c r="N95">
        <f t="shared" si="36"/>
        <v>5</v>
      </c>
      <c r="P95">
        <f t="shared" si="37"/>
        <v>157</v>
      </c>
      <c r="Q95" t="str">
        <f t="shared" si="48"/>
        <v>, 161</v>
      </c>
      <c r="R95" t="str">
        <f t="shared" si="48"/>
        <v>, 260</v>
      </c>
      <c r="S95" t="str">
        <f t="shared" si="48"/>
        <v>, 417</v>
      </c>
      <c r="T95" t="str">
        <f t="shared" si="48"/>
        <v>, 442</v>
      </c>
      <c r="U95" t="str">
        <f t="shared" si="48"/>
        <v>, 457</v>
      </c>
      <c r="V95" t="str">
        <f t="shared" si="48"/>
        <v/>
      </c>
      <c r="Z95" t="str">
        <f t="shared" si="38"/>
        <v>KARLA</v>
      </c>
      <c r="AA95" t="str">
        <f t="shared" si="49"/>
        <v xml:space="preserve"> ,KARLA</v>
      </c>
      <c r="AB95" t="str">
        <f t="shared" si="49"/>
        <v xml:space="preserve"> ,Karla Panela (f)</v>
      </c>
      <c r="AC95" t="str">
        <f t="shared" si="49"/>
        <v xml:space="preserve"> ,Karla panela</v>
      </c>
      <c r="AD95" t="str">
        <f t="shared" si="49"/>
        <v xml:space="preserve"> ,Karla</v>
      </c>
      <c r="AE95" t="str">
        <f t="shared" si="49"/>
        <v xml:space="preserve"> ,Karla Pamela</v>
      </c>
      <c r="AF95" t="str">
        <f t="shared" si="49"/>
        <v/>
      </c>
      <c r="AV95">
        <v>94</v>
      </c>
      <c r="AW95" t="s">
        <v>74</v>
      </c>
      <c r="BM95">
        <v>94</v>
      </c>
      <c r="BN95" t="s">
        <v>74</v>
      </c>
      <c r="BO95" t="str">
        <f t="shared" si="39"/>
        <v>GUILHERME NOGUEIRA</v>
      </c>
      <c r="BP95" t="b">
        <f t="shared" si="40"/>
        <v>1</v>
      </c>
    </row>
    <row r="96" spans="1:68">
      <c r="A96">
        <v>95</v>
      </c>
      <c r="B96" t="s">
        <v>75</v>
      </c>
      <c r="C96" s="1">
        <v>2035229488</v>
      </c>
      <c r="D96" t="s">
        <v>280</v>
      </c>
      <c r="E96">
        <f>COUNTIF($C$1:C96,C96)</f>
        <v>1</v>
      </c>
      <c r="F96" t="str">
        <f t="shared" si="32"/>
        <v>20352294881</v>
      </c>
      <c r="G96">
        <f t="shared" si="33"/>
        <v>0</v>
      </c>
      <c r="H96">
        <f t="shared" si="41"/>
        <v>0</v>
      </c>
      <c r="I96" s="2">
        <v>9144269391</v>
      </c>
      <c r="J96" s="3">
        <f t="shared" si="34"/>
        <v>4</v>
      </c>
      <c r="K96" s="3">
        <f t="shared" si="35"/>
        <v>1</v>
      </c>
      <c r="L96" s="3" t="str">
        <f t="shared" si="42"/>
        <v>162, 297, 354, 491</v>
      </c>
      <c r="M96" s="3" t="str">
        <f t="shared" si="43"/>
        <v>Wellington Santana ,Wellington Santana ,Wellington Santana (f) ,Wellington Santana</v>
      </c>
      <c r="N96">
        <f t="shared" si="36"/>
        <v>3</v>
      </c>
      <c r="P96">
        <f t="shared" si="37"/>
        <v>162</v>
      </c>
      <c r="Q96" t="str">
        <f t="shared" si="48"/>
        <v>, 297</v>
      </c>
      <c r="R96" t="str">
        <f t="shared" si="48"/>
        <v>, 354</v>
      </c>
      <c r="S96" t="str">
        <f t="shared" si="48"/>
        <v>, 491</v>
      </c>
      <c r="T96" t="str">
        <f t="shared" si="48"/>
        <v/>
      </c>
      <c r="U96" t="str">
        <f t="shared" si="48"/>
        <v/>
      </c>
      <c r="V96" t="str">
        <f t="shared" si="48"/>
        <v/>
      </c>
      <c r="Z96" t="str">
        <f t="shared" si="38"/>
        <v>Wellington Santana</v>
      </c>
      <c r="AA96" t="str">
        <f t="shared" si="49"/>
        <v xml:space="preserve"> ,Wellington Santana</v>
      </c>
      <c r="AB96" t="str">
        <f t="shared" si="49"/>
        <v xml:space="preserve"> ,Wellington Santana (f)</v>
      </c>
      <c r="AC96" t="str">
        <f t="shared" si="49"/>
        <v xml:space="preserve"> ,Wellington Santana</v>
      </c>
      <c r="AD96" t="str">
        <f t="shared" si="49"/>
        <v/>
      </c>
      <c r="AE96" t="str">
        <f t="shared" si="49"/>
        <v/>
      </c>
      <c r="AF96" t="str">
        <f t="shared" si="49"/>
        <v/>
      </c>
      <c r="AV96">
        <v>95</v>
      </c>
      <c r="AW96" t="s">
        <v>75</v>
      </c>
      <c r="BM96">
        <v>95</v>
      </c>
      <c r="BN96" t="s">
        <v>75</v>
      </c>
      <c r="BO96" t="str">
        <f t="shared" si="39"/>
        <v>DIEGO (MECANICO)</v>
      </c>
      <c r="BP96" t="b">
        <f t="shared" si="40"/>
        <v>1</v>
      </c>
    </row>
    <row r="97" spans="1:68">
      <c r="A97">
        <v>96</v>
      </c>
      <c r="B97" t="s">
        <v>301</v>
      </c>
      <c r="C97" s="1">
        <v>9145659101</v>
      </c>
      <c r="D97" t="s">
        <v>280</v>
      </c>
      <c r="E97">
        <f>COUNTIF($C$1:C97,C97)</f>
        <v>1</v>
      </c>
      <c r="F97" t="str">
        <f t="shared" si="32"/>
        <v>91456591011</v>
      </c>
      <c r="G97">
        <f t="shared" si="33"/>
        <v>1</v>
      </c>
      <c r="H97">
        <f t="shared" si="41"/>
        <v>0</v>
      </c>
      <c r="I97" s="4">
        <v>4754194333</v>
      </c>
      <c r="J97" s="5">
        <f t="shared" si="34"/>
        <v>2</v>
      </c>
      <c r="K97" s="5">
        <f t="shared" si="35"/>
        <v>2</v>
      </c>
      <c r="L97" s="5" t="str">
        <f t="shared" si="42"/>
        <v>163, 339</v>
      </c>
      <c r="M97" s="5" t="str">
        <f t="shared" si="43"/>
        <v>FABIO BORCA K pg ,FABIO BORA k pg</v>
      </c>
      <c r="N97">
        <f t="shared" si="36"/>
        <v>0</v>
      </c>
      <c r="P97">
        <f t="shared" si="37"/>
        <v>163</v>
      </c>
      <c r="Q97" t="str">
        <f t="shared" si="48"/>
        <v>, 339</v>
      </c>
      <c r="R97" t="str">
        <f t="shared" si="48"/>
        <v/>
      </c>
      <c r="S97" t="str">
        <f t="shared" si="48"/>
        <v/>
      </c>
      <c r="T97" t="str">
        <f t="shared" si="48"/>
        <v/>
      </c>
      <c r="U97" t="str">
        <f t="shared" si="48"/>
        <v/>
      </c>
      <c r="V97" t="str">
        <f t="shared" si="48"/>
        <v/>
      </c>
      <c r="Z97" t="str">
        <f t="shared" si="38"/>
        <v>FABIO BORCA K pg</v>
      </c>
      <c r="AA97" t="str">
        <f t="shared" si="49"/>
        <v xml:space="preserve"> ,FABIO BORA k pg</v>
      </c>
      <c r="AB97" t="str">
        <f t="shared" si="49"/>
        <v/>
      </c>
      <c r="AC97" t="str">
        <f t="shared" si="49"/>
        <v/>
      </c>
      <c r="AD97" t="str">
        <f t="shared" si="49"/>
        <v/>
      </c>
      <c r="AE97" t="str">
        <f t="shared" si="49"/>
        <v/>
      </c>
      <c r="AF97" t="str">
        <f t="shared" si="49"/>
        <v/>
      </c>
      <c r="AV97">
        <v>96</v>
      </c>
      <c r="AW97" t="s">
        <v>76</v>
      </c>
      <c r="BM97">
        <v>96</v>
      </c>
      <c r="BN97" t="s">
        <v>301</v>
      </c>
      <c r="BO97" t="str">
        <f t="shared" si="39"/>
        <v>DOUGLAS pg</v>
      </c>
      <c r="BP97" t="b">
        <f t="shared" si="40"/>
        <v>1</v>
      </c>
    </row>
    <row r="98" spans="1:68">
      <c r="A98">
        <v>97</v>
      </c>
      <c r="B98" t="s">
        <v>77</v>
      </c>
      <c r="C98" s="1">
        <v>2035597817</v>
      </c>
      <c r="D98" t="s">
        <v>280</v>
      </c>
      <c r="E98">
        <f>COUNTIF($C$1:C98,C98)</f>
        <v>1</v>
      </c>
      <c r="F98" t="str">
        <f t="shared" si="32"/>
        <v>20355978171</v>
      </c>
      <c r="G98">
        <f t="shared" si="33"/>
        <v>0</v>
      </c>
      <c r="H98">
        <f t="shared" si="41"/>
        <v>0</v>
      </c>
      <c r="I98" s="2">
        <v>9145620301</v>
      </c>
      <c r="J98" s="3">
        <f t="shared" ref="J98:J129" si="50">COUNTIF(C:C,I98)</f>
        <v>5</v>
      </c>
      <c r="K98" s="3">
        <f t="shared" ref="K98:K129" si="51">COUNTIFS(C:C,I98,G:G,1)+COUNTIFS(C:C,I98,H:H,1)</f>
        <v>1</v>
      </c>
      <c r="L98" s="3" t="str">
        <f t="shared" si="42"/>
        <v>164, 165, 166, 296, 396</v>
      </c>
      <c r="M98" s="3" t="str">
        <f t="shared" si="43"/>
        <v>Júnior faca ,Júnior faca ,Júnior faca (f) ,JUNIOR GORDO ,JUNIOR GORDO</v>
      </c>
      <c r="N98">
        <f t="shared" ref="N98:N129" si="52">J98-K98</f>
        <v>4</v>
      </c>
      <c r="P98">
        <f t="shared" ref="P98:P129" si="53">IFERROR(INDEX($A$2:$A$501,MATCH($I98&amp;P$1,$F$2:$F$501,0)),"")</f>
        <v>164</v>
      </c>
      <c r="Q98" t="str">
        <f t="shared" si="48"/>
        <v>, 165</v>
      </c>
      <c r="R98" t="str">
        <f t="shared" si="48"/>
        <v>, 166</v>
      </c>
      <c r="S98" t="str">
        <f t="shared" si="48"/>
        <v>, 296</v>
      </c>
      <c r="T98" t="str">
        <f t="shared" si="48"/>
        <v>, 396</v>
      </c>
      <c r="U98" t="str">
        <f t="shared" si="48"/>
        <v/>
      </c>
      <c r="V98" t="str">
        <f t="shared" si="48"/>
        <v/>
      </c>
      <c r="Z98" t="str">
        <f t="shared" ref="Z98:Z129" si="54">IFERROR(INDEX($B$2:$B$501,MATCH($I98&amp;Z$1,$F$2:$F$501,0)),"")</f>
        <v>Júnior faca</v>
      </c>
      <c r="AA98" t="str">
        <f t="shared" si="49"/>
        <v xml:space="preserve"> ,Júnior faca</v>
      </c>
      <c r="AB98" t="str">
        <f t="shared" si="49"/>
        <v xml:space="preserve"> ,Júnior faca (f)</v>
      </c>
      <c r="AC98" t="str">
        <f t="shared" si="49"/>
        <v xml:space="preserve"> ,JUNIOR GORDO</v>
      </c>
      <c r="AD98" t="str">
        <f t="shared" si="49"/>
        <v xml:space="preserve"> ,JUNIOR GORDO</v>
      </c>
      <c r="AE98" t="str">
        <f t="shared" si="49"/>
        <v/>
      </c>
      <c r="AF98" t="str">
        <f t="shared" si="49"/>
        <v/>
      </c>
      <c r="AV98">
        <v>97</v>
      </c>
      <c r="AW98" t="s">
        <v>77</v>
      </c>
      <c r="BM98">
        <v>97</v>
      </c>
      <c r="BN98" t="s">
        <v>77</v>
      </c>
      <c r="BO98" t="str">
        <f t="shared" si="39"/>
        <v>ROGERIO LOPES</v>
      </c>
      <c r="BP98" t="b">
        <f t="shared" ref="BP98:BP129" si="55">BO98=BN98</f>
        <v>1</v>
      </c>
    </row>
    <row r="99" spans="1:68">
      <c r="A99">
        <v>98</v>
      </c>
      <c r="B99" t="s">
        <v>57</v>
      </c>
      <c r="C99" s="1">
        <v>2035719888</v>
      </c>
      <c r="D99" t="s">
        <v>280</v>
      </c>
      <c r="E99">
        <f>COUNTIF($C$1:C99,C99)</f>
        <v>2</v>
      </c>
      <c r="F99" t="str">
        <f t="shared" si="32"/>
        <v>20357198882</v>
      </c>
      <c r="G99">
        <f t="shared" si="33"/>
        <v>0</v>
      </c>
      <c r="H99">
        <f t="shared" si="41"/>
        <v>0</v>
      </c>
      <c r="I99" s="4">
        <v>2035360916</v>
      </c>
      <c r="J99" s="5">
        <f t="shared" si="50"/>
        <v>3</v>
      </c>
      <c r="K99" s="5">
        <f t="shared" si="51"/>
        <v>1</v>
      </c>
      <c r="L99" s="5" t="str">
        <f t="shared" si="42"/>
        <v>170, 231, 461</v>
      </c>
      <c r="M99" s="5" t="str">
        <f t="shared" si="43"/>
        <v>Adalberto Martins ,Adalberto Martins ,Adalberto Martins (f)</v>
      </c>
      <c r="N99">
        <f t="shared" si="52"/>
        <v>2</v>
      </c>
      <c r="P99">
        <f t="shared" si="53"/>
        <v>170</v>
      </c>
      <c r="Q99" t="str">
        <f t="shared" si="48"/>
        <v>, 231</v>
      </c>
      <c r="R99" t="str">
        <f t="shared" si="48"/>
        <v>, 461</v>
      </c>
      <c r="S99" t="str">
        <f t="shared" si="48"/>
        <v/>
      </c>
      <c r="T99" t="str">
        <f t="shared" si="48"/>
        <v/>
      </c>
      <c r="U99" t="str">
        <f t="shared" si="48"/>
        <v/>
      </c>
      <c r="V99" t="str">
        <f t="shared" si="48"/>
        <v/>
      </c>
      <c r="Z99" t="str">
        <f t="shared" si="54"/>
        <v>Adalberto Martins</v>
      </c>
      <c r="AA99" t="str">
        <f t="shared" si="49"/>
        <v xml:space="preserve"> ,Adalberto Martins</v>
      </c>
      <c r="AB99" t="str">
        <f t="shared" si="49"/>
        <v xml:space="preserve"> ,Adalberto Martins (f)</v>
      </c>
      <c r="AC99" t="str">
        <f t="shared" si="49"/>
        <v/>
      </c>
      <c r="AD99" t="str">
        <f t="shared" si="49"/>
        <v/>
      </c>
      <c r="AE99" t="str">
        <f t="shared" si="49"/>
        <v/>
      </c>
      <c r="AF99" t="str">
        <f t="shared" si="49"/>
        <v/>
      </c>
      <c r="AV99">
        <v>98</v>
      </c>
      <c r="AW99" t="s">
        <v>57</v>
      </c>
      <c r="BM99">
        <v>98</v>
      </c>
      <c r="BN99" t="s">
        <v>57</v>
      </c>
      <c r="BO99" t="str">
        <f t="shared" si="39"/>
        <v>FRANCISCO SOUZA</v>
      </c>
      <c r="BP99" t="b">
        <f t="shared" si="55"/>
        <v>1</v>
      </c>
    </row>
    <row r="100" spans="1:68">
      <c r="A100">
        <v>99</v>
      </c>
      <c r="B100" t="s">
        <v>78</v>
      </c>
      <c r="C100" s="1">
        <v>9143918505</v>
      </c>
      <c r="D100" t="s">
        <v>280</v>
      </c>
      <c r="E100">
        <f>COUNTIF($C$1:C100,C100)</f>
        <v>1</v>
      </c>
      <c r="F100" t="str">
        <f t="shared" si="32"/>
        <v>91439185051</v>
      </c>
      <c r="G100">
        <f t="shared" si="33"/>
        <v>0</v>
      </c>
      <c r="H100">
        <f t="shared" si="41"/>
        <v>0</v>
      </c>
      <c r="I100" s="2">
        <v>4754493737</v>
      </c>
      <c r="J100" s="3">
        <f t="shared" si="50"/>
        <v>1</v>
      </c>
      <c r="K100" s="3">
        <f t="shared" si="51"/>
        <v>1</v>
      </c>
      <c r="L100" s="3" t="str">
        <f t="shared" si="42"/>
        <v>172</v>
      </c>
      <c r="M100" s="3" t="str">
        <f t="shared" si="43"/>
        <v>ALAN COSTA pg</v>
      </c>
      <c r="N100">
        <f t="shared" si="52"/>
        <v>0</v>
      </c>
      <c r="P100">
        <f t="shared" si="53"/>
        <v>172</v>
      </c>
      <c r="Q100" t="str">
        <f t="shared" si="48"/>
        <v/>
      </c>
      <c r="R100" t="str">
        <f t="shared" si="48"/>
        <v/>
      </c>
      <c r="S100" t="str">
        <f t="shared" si="48"/>
        <v/>
      </c>
      <c r="T100" t="str">
        <f t="shared" si="48"/>
        <v/>
      </c>
      <c r="U100" t="str">
        <f t="shared" si="48"/>
        <v/>
      </c>
      <c r="V100" t="str">
        <f t="shared" si="48"/>
        <v/>
      </c>
      <c r="Z100" t="str">
        <f t="shared" si="54"/>
        <v>ALAN COSTA pg</v>
      </c>
      <c r="AA100" t="str">
        <f t="shared" si="49"/>
        <v/>
      </c>
      <c r="AB100" t="str">
        <f t="shared" si="49"/>
        <v/>
      </c>
      <c r="AC100" t="str">
        <f t="shared" si="49"/>
        <v/>
      </c>
      <c r="AD100" t="str">
        <f t="shared" si="49"/>
        <v/>
      </c>
      <c r="AE100" t="str">
        <f t="shared" si="49"/>
        <v/>
      </c>
      <c r="AF100" t="str">
        <f t="shared" si="49"/>
        <v/>
      </c>
      <c r="AV100">
        <v>99</v>
      </c>
      <c r="AW100" t="s">
        <v>78</v>
      </c>
      <c r="BM100">
        <v>99</v>
      </c>
      <c r="BN100" t="s">
        <v>78</v>
      </c>
      <c r="BO100" t="str">
        <f t="shared" si="39"/>
        <v>ADRIANO</v>
      </c>
      <c r="BP100" t="b">
        <f t="shared" si="55"/>
        <v>1</v>
      </c>
    </row>
    <row r="101" spans="1:68">
      <c r="A101">
        <v>100</v>
      </c>
      <c r="B101" t="s">
        <v>79</v>
      </c>
      <c r="C101" s="1">
        <v>2035439473</v>
      </c>
      <c r="D101" t="s">
        <v>280</v>
      </c>
      <c r="E101">
        <f>COUNTIF($C$1:C101,C101)</f>
        <v>2</v>
      </c>
      <c r="F101" t="str">
        <f t="shared" si="32"/>
        <v>20354394732</v>
      </c>
      <c r="G101">
        <f t="shared" si="33"/>
        <v>0</v>
      </c>
      <c r="H101">
        <f t="shared" si="41"/>
        <v>0</v>
      </c>
      <c r="I101" s="4">
        <v>4754496806</v>
      </c>
      <c r="J101" s="5">
        <f t="shared" si="50"/>
        <v>3</v>
      </c>
      <c r="K101" s="5">
        <f t="shared" si="51"/>
        <v>3</v>
      </c>
      <c r="L101" s="5" t="str">
        <f t="shared" si="42"/>
        <v>179, 444, 497</v>
      </c>
      <c r="M101" s="5" t="str">
        <f t="shared" si="43"/>
        <v>SIMARA show car pg ,ADILSON pg ,ADILSON pg</v>
      </c>
      <c r="N101">
        <f t="shared" si="52"/>
        <v>0</v>
      </c>
      <c r="P101">
        <f t="shared" si="53"/>
        <v>179</v>
      </c>
      <c r="Q101" t="str">
        <f t="shared" si="48"/>
        <v>, 444</v>
      </c>
      <c r="R101" t="str">
        <f t="shared" si="48"/>
        <v>, 497</v>
      </c>
      <c r="S101" t="str">
        <f t="shared" si="48"/>
        <v/>
      </c>
      <c r="T101" t="str">
        <f t="shared" si="48"/>
        <v/>
      </c>
      <c r="U101" t="str">
        <f t="shared" si="48"/>
        <v/>
      </c>
      <c r="V101" t="str">
        <f t="shared" si="48"/>
        <v/>
      </c>
      <c r="Z101" t="str">
        <f t="shared" si="54"/>
        <v>SIMARA show car pg</v>
      </c>
      <c r="AA101" t="str">
        <f t="shared" si="49"/>
        <v xml:space="preserve"> ,ADILSON pg</v>
      </c>
      <c r="AB101" t="str">
        <f t="shared" si="49"/>
        <v xml:space="preserve"> ,ADILSON pg</v>
      </c>
      <c r="AC101" t="str">
        <f t="shared" si="49"/>
        <v/>
      </c>
      <c r="AD101" t="str">
        <f t="shared" si="49"/>
        <v/>
      </c>
      <c r="AE101" t="str">
        <f t="shared" si="49"/>
        <v/>
      </c>
      <c r="AF101" t="str">
        <f t="shared" si="49"/>
        <v/>
      </c>
      <c r="AV101">
        <v>100</v>
      </c>
      <c r="AW101" t="s">
        <v>79</v>
      </c>
      <c r="BM101">
        <v>100</v>
      </c>
      <c r="BN101" t="s">
        <v>79</v>
      </c>
      <c r="BO101" t="str">
        <f t="shared" si="39"/>
        <v>HARLEY</v>
      </c>
      <c r="BP101" t="b">
        <f t="shared" si="55"/>
        <v>1</v>
      </c>
    </row>
    <row r="102" spans="1:68">
      <c r="A102">
        <v>101</v>
      </c>
      <c r="B102" t="s">
        <v>80</v>
      </c>
      <c r="D102" t="s">
        <v>281</v>
      </c>
      <c r="E102">
        <f>COUNTIF($C$1:C102,C102)</f>
        <v>0</v>
      </c>
      <c r="F102" t="str">
        <f t="shared" si="32"/>
        <v>0</v>
      </c>
      <c r="G102">
        <f t="shared" si="33"/>
        <v>0</v>
      </c>
      <c r="H102">
        <f t="shared" si="41"/>
        <v>0</v>
      </c>
      <c r="I102" s="2">
        <v>2035406751</v>
      </c>
      <c r="J102" s="3">
        <f t="shared" si="50"/>
        <v>3</v>
      </c>
      <c r="K102" s="3">
        <f t="shared" si="51"/>
        <v>3</v>
      </c>
      <c r="L102" s="3" t="str">
        <f t="shared" si="42"/>
        <v>180, 365, 420</v>
      </c>
      <c r="M102" s="3" t="str">
        <f t="shared" si="43"/>
        <v>Bola de fogo pg ,BOLA de fogo (f) ,Bola de fogo pg</v>
      </c>
      <c r="N102">
        <f t="shared" si="52"/>
        <v>0</v>
      </c>
      <c r="P102">
        <f t="shared" si="53"/>
        <v>180</v>
      </c>
      <c r="Q102" t="str">
        <f t="shared" ref="Q102:V111" si="56">IFERROR(", "&amp;INDEX($A$2:$A$501,MATCH($I102&amp;Q$1,$F$2:$F$501,0)),"")</f>
        <v>, 365</v>
      </c>
      <c r="R102" t="str">
        <f t="shared" si="56"/>
        <v>, 420</v>
      </c>
      <c r="S102" t="str">
        <f t="shared" si="56"/>
        <v/>
      </c>
      <c r="T102" t="str">
        <f t="shared" si="56"/>
        <v/>
      </c>
      <c r="U102" t="str">
        <f t="shared" si="56"/>
        <v/>
      </c>
      <c r="V102" t="str">
        <f t="shared" si="56"/>
        <v/>
      </c>
      <c r="Z102" t="str">
        <f t="shared" si="54"/>
        <v>Bola de fogo pg</v>
      </c>
      <c r="AA102" t="str">
        <f t="shared" ref="AA102:AF111" si="57">IFERROR(" ,"&amp;INDEX($B$2:$B$501,MATCH($I102&amp;AA$1,$F$2:$F$501,0)),"")</f>
        <v xml:space="preserve"> ,BOLA de fogo (f)</v>
      </c>
      <c r="AB102" t="str">
        <f t="shared" si="57"/>
        <v xml:space="preserve"> ,Bola de fogo pg</v>
      </c>
      <c r="AC102" t="str">
        <f t="shared" si="57"/>
        <v/>
      </c>
      <c r="AD102" t="str">
        <f t="shared" si="57"/>
        <v/>
      </c>
      <c r="AE102" t="str">
        <f t="shared" si="57"/>
        <v/>
      </c>
      <c r="AF102" t="str">
        <f t="shared" si="57"/>
        <v/>
      </c>
      <c r="AV102">
        <v>101</v>
      </c>
      <c r="AW102" t="s">
        <v>80</v>
      </c>
      <c r="BM102">
        <v>101</v>
      </c>
      <c r="BN102" t="s">
        <v>80</v>
      </c>
      <c r="BO102" t="str">
        <f t="shared" si="39"/>
        <v>MARCELO</v>
      </c>
      <c r="BP102" t="b">
        <f t="shared" si="55"/>
        <v>1</v>
      </c>
    </row>
    <row r="103" spans="1:68">
      <c r="A103">
        <v>102</v>
      </c>
      <c r="B103" t="s">
        <v>337</v>
      </c>
      <c r="C103" s="1">
        <v>2672706341</v>
      </c>
      <c r="D103" t="s">
        <v>280</v>
      </c>
      <c r="E103">
        <f>COUNTIF($C$1:C103,C103)</f>
        <v>1</v>
      </c>
      <c r="F103" t="str">
        <f t="shared" si="32"/>
        <v>26727063411</v>
      </c>
      <c r="G103">
        <f t="shared" si="33"/>
        <v>1</v>
      </c>
      <c r="H103">
        <f t="shared" si="41"/>
        <v>0</v>
      </c>
      <c r="I103" s="4">
        <v>2034494860</v>
      </c>
      <c r="J103" s="5">
        <f t="shared" si="50"/>
        <v>2</v>
      </c>
      <c r="K103" s="5">
        <f t="shared" si="51"/>
        <v>2</v>
      </c>
      <c r="L103" s="5" t="str">
        <f t="shared" si="42"/>
        <v>182, 265</v>
      </c>
      <c r="M103" s="5" t="str">
        <f t="shared" si="43"/>
        <v>SARMENTO pg ,SARMENTO pg</v>
      </c>
      <c r="N103">
        <f t="shared" si="52"/>
        <v>0</v>
      </c>
      <c r="P103">
        <f t="shared" si="53"/>
        <v>182</v>
      </c>
      <c r="Q103" t="str">
        <f t="shared" si="56"/>
        <v>, 265</v>
      </c>
      <c r="R103" t="str">
        <f t="shared" si="56"/>
        <v/>
      </c>
      <c r="S103" t="str">
        <f t="shared" si="56"/>
        <v/>
      </c>
      <c r="T103" t="str">
        <f t="shared" si="56"/>
        <v/>
      </c>
      <c r="U103" t="str">
        <f t="shared" si="56"/>
        <v/>
      </c>
      <c r="V103" t="str">
        <f t="shared" si="56"/>
        <v/>
      </c>
      <c r="Z103" t="str">
        <f t="shared" si="54"/>
        <v>SARMENTO pg</v>
      </c>
      <c r="AA103" t="str">
        <f t="shared" si="57"/>
        <v xml:space="preserve"> ,SARMENTO pg</v>
      </c>
      <c r="AB103" t="str">
        <f t="shared" si="57"/>
        <v/>
      </c>
      <c r="AC103" t="str">
        <f t="shared" si="57"/>
        <v/>
      </c>
      <c r="AD103" t="str">
        <f t="shared" si="57"/>
        <v/>
      </c>
      <c r="AE103" t="str">
        <f t="shared" si="57"/>
        <v/>
      </c>
      <c r="AF103" t="str">
        <f t="shared" si="57"/>
        <v/>
      </c>
      <c r="AV103">
        <v>102</v>
      </c>
      <c r="AW103" t="s">
        <v>81</v>
      </c>
      <c r="BM103">
        <v>102</v>
      </c>
      <c r="BN103" t="s">
        <v>337</v>
      </c>
      <c r="BO103" t="str">
        <f t="shared" si="39"/>
        <v>UEVERTON L FERREIRA pg</v>
      </c>
      <c r="BP103" t="b">
        <f t="shared" si="55"/>
        <v>1</v>
      </c>
    </row>
    <row r="104" spans="1:68">
      <c r="A104">
        <v>103</v>
      </c>
      <c r="B104" t="s">
        <v>82</v>
      </c>
      <c r="C104" s="1">
        <v>9144266464</v>
      </c>
      <c r="D104" t="s">
        <v>280</v>
      </c>
      <c r="E104">
        <f>COUNTIF($C$1:C104,C104)</f>
        <v>1</v>
      </c>
      <c r="F104" t="str">
        <f t="shared" si="32"/>
        <v>91442664641</v>
      </c>
      <c r="G104">
        <f t="shared" si="33"/>
        <v>1</v>
      </c>
      <c r="H104">
        <f t="shared" si="41"/>
        <v>0</v>
      </c>
      <c r="I104" s="2">
        <v>6465429753</v>
      </c>
      <c r="J104" s="3">
        <f t="shared" si="50"/>
        <v>1</v>
      </c>
      <c r="K104" s="3">
        <f t="shared" si="51"/>
        <v>1</v>
      </c>
      <c r="L104" s="3" t="str">
        <f t="shared" si="42"/>
        <v>185</v>
      </c>
      <c r="M104" s="3" t="str">
        <f t="shared" si="43"/>
        <v>DENILSON pg</v>
      </c>
      <c r="N104">
        <f t="shared" si="52"/>
        <v>0</v>
      </c>
      <c r="P104">
        <f t="shared" si="53"/>
        <v>185</v>
      </c>
      <c r="Q104" t="str">
        <f t="shared" si="56"/>
        <v/>
      </c>
      <c r="R104" t="str">
        <f t="shared" si="56"/>
        <v/>
      </c>
      <c r="S104" t="str">
        <f t="shared" si="56"/>
        <v/>
      </c>
      <c r="T104" t="str">
        <f t="shared" si="56"/>
        <v/>
      </c>
      <c r="U104" t="str">
        <f t="shared" si="56"/>
        <v/>
      </c>
      <c r="V104" t="str">
        <f t="shared" si="56"/>
        <v/>
      </c>
      <c r="Z104" t="str">
        <f t="shared" si="54"/>
        <v>DENILSON pg</v>
      </c>
      <c r="AA104" t="str">
        <f t="shared" si="57"/>
        <v/>
      </c>
      <c r="AB104" t="str">
        <f t="shared" si="57"/>
        <v/>
      </c>
      <c r="AC104" t="str">
        <f t="shared" si="57"/>
        <v/>
      </c>
      <c r="AD104" t="str">
        <f t="shared" si="57"/>
        <v/>
      </c>
      <c r="AE104" t="str">
        <f t="shared" si="57"/>
        <v/>
      </c>
      <c r="AF104" t="str">
        <f t="shared" si="57"/>
        <v/>
      </c>
      <c r="AV104">
        <v>103</v>
      </c>
      <c r="AW104" t="s">
        <v>82</v>
      </c>
      <c r="BM104">
        <v>103</v>
      </c>
      <c r="BN104" t="s">
        <v>82</v>
      </c>
      <c r="BO104" t="str">
        <f t="shared" si="39"/>
        <v>RAFA JOAO pg</v>
      </c>
      <c r="BP104" t="b">
        <f t="shared" si="55"/>
        <v>1</v>
      </c>
    </row>
    <row r="105" spans="1:68">
      <c r="A105">
        <v>104</v>
      </c>
      <c r="B105" t="s">
        <v>337</v>
      </c>
      <c r="C105" s="1">
        <v>2672706341</v>
      </c>
      <c r="D105" t="s">
        <v>280</v>
      </c>
      <c r="E105">
        <f>COUNTIF($C$1:C105,C105)</f>
        <v>2</v>
      </c>
      <c r="F105" t="str">
        <f t="shared" si="32"/>
        <v>26727063412</v>
      </c>
      <c r="G105">
        <f t="shared" si="33"/>
        <v>1</v>
      </c>
      <c r="H105">
        <f t="shared" si="41"/>
        <v>0</v>
      </c>
      <c r="I105" s="4">
        <v>9142306486</v>
      </c>
      <c r="J105" s="5">
        <f t="shared" si="50"/>
        <v>1</v>
      </c>
      <c r="K105" s="5">
        <f t="shared" si="51"/>
        <v>0</v>
      </c>
      <c r="L105" s="5" t="str">
        <f t="shared" si="42"/>
        <v>187</v>
      </c>
      <c r="M105" s="5" t="str">
        <f t="shared" si="43"/>
        <v>JEFERSON</v>
      </c>
      <c r="N105">
        <f t="shared" si="52"/>
        <v>1</v>
      </c>
      <c r="P105">
        <f t="shared" si="53"/>
        <v>187</v>
      </c>
      <c r="Q105" t="str">
        <f t="shared" si="56"/>
        <v/>
      </c>
      <c r="R105" t="str">
        <f t="shared" si="56"/>
        <v/>
      </c>
      <c r="S105" t="str">
        <f t="shared" si="56"/>
        <v/>
      </c>
      <c r="T105" t="str">
        <f t="shared" si="56"/>
        <v/>
      </c>
      <c r="U105" t="str">
        <f t="shared" si="56"/>
        <v/>
      </c>
      <c r="V105" t="str">
        <f t="shared" si="56"/>
        <v/>
      </c>
      <c r="Z105" t="str">
        <f t="shared" si="54"/>
        <v>JEFERSON</v>
      </c>
      <c r="AA105" t="str">
        <f t="shared" si="57"/>
        <v/>
      </c>
      <c r="AB105" t="str">
        <f t="shared" si="57"/>
        <v/>
      </c>
      <c r="AC105" t="str">
        <f t="shared" si="57"/>
        <v/>
      </c>
      <c r="AD105" t="str">
        <f t="shared" si="57"/>
        <v/>
      </c>
      <c r="AE105" t="str">
        <f t="shared" si="57"/>
        <v/>
      </c>
      <c r="AF105" t="str">
        <f t="shared" si="57"/>
        <v/>
      </c>
      <c r="AV105">
        <v>104</v>
      </c>
      <c r="AW105" t="s">
        <v>81</v>
      </c>
      <c r="BM105">
        <v>104</v>
      </c>
      <c r="BN105" t="s">
        <v>337</v>
      </c>
      <c r="BO105" t="str">
        <f t="shared" si="39"/>
        <v>UEVERTON L FERREIRA pg</v>
      </c>
      <c r="BP105" t="b">
        <f t="shared" si="55"/>
        <v>1</v>
      </c>
    </row>
    <row r="106" spans="1:68">
      <c r="A106">
        <v>105</v>
      </c>
      <c r="B106" t="s">
        <v>83</v>
      </c>
      <c r="D106" t="s">
        <v>281</v>
      </c>
      <c r="E106">
        <f>COUNTIF($C$1:C106,C106)</f>
        <v>0</v>
      </c>
      <c r="F106" t="str">
        <f t="shared" si="32"/>
        <v>0</v>
      </c>
      <c r="G106">
        <f t="shared" si="33"/>
        <v>0</v>
      </c>
      <c r="H106">
        <f t="shared" si="41"/>
        <v>0</v>
      </c>
      <c r="I106" s="2">
        <v>2038085888</v>
      </c>
      <c r="J106" s="3">
        <f t="shared" si="50"/>
        <v>2</v>
      </c>
      <c r="K106" s="3">
        <f t="shared" si="51"/>
        <v>2</v>
      </c>
      <c r="L106" s="3" t="str">
        <f t="shared" si="42"/>
        <v>193, 495</v>
      </c>
      <c r="M106" s="3" t="str">
        <f t="shared" si="43"/>
        <v>JOSE CARLOS pg ,JOSE CARLOS pg</v>
      </c>
      <c r="N106">
        <f t="shared" si="52"/>
        <v>0</v>
      </c>
      <c r="P106">
        <f t="shared" si="53"/>
        <v>193</v>
      </c>
      <c r="Q106" t="str">
        <f t="shared" si="56"/>
        <v>, 495</v>
      </c>
      <c r="R106" t="str">
        <f t="shared" si="56"/>
        <v/>
      </c>
      <c r="S106" t="str">
        <f t="shared" si="56"/>
        <v/>
      </c>
      <c r="T106" t="str">
        <f t="shared" si="56"/>
        <v/>
      </c>
      <c r="U106" t="str">
        <f t="shared" si="56"/>
        <v/>
      </c>
      <c r="V106" t="str">
        <f t="shared" si="56"/>
        <v/>
      </c>
      <c r="Z106" t="str">
        <f t="shared" si="54"/>
        <v>JOSE CARLOS pg</v>
      </c>
      <c r="AA106" t="str">
        <f t="shared" si="57"/>
        <v xml:space="preserve"> ,JOSE CARLOS pg</v>
      </c>
      <c r="AB106" t="str">
        <f t="shared" si="57"/>
        <v/>
      </c>
      <c r="AC106" t="str">
        <f t="shared" si="57"/>
        <v/>
      </c>
      <c r="AD106" t="str">
        <f t="shared" si="57"/>
        <v/>
      </c>
      <c r="AE106" t="str">
        <f t="shared" si="57"/>
        <v/>
      </c>
      <c r="AF106" t="str">
        <f t="shared" si="57"/>
        <v/>
      </c>
      <c r="AV106">
        <v>105</v>
      </c>
      <c r="AW106" t="s">
        <v>83</v>
      </c>
      <c r="BM106">
        <v>105</v>
      </c>
      <c r="BN106" t="s">
        <v>83</v>
      </c>
      <c r="BO106" t="str">
        <f t="shared" si="39"/>
        <v>MARCELO ELETRICISTA</v>
      </c>
      <c r="BP106" t="b">
        <f t="shared" si="55"/>
        <v>1</v>
      </c>
    </row>
    <row r="107" spans="1:68">
      <c r="A107">
        <v>106</v>
      </c>
      <c r="B107" t="s">
        <v>337</v>
      </c>
      <c r="C107" s="1">
        <v>2672706341</v>
      </c>
      <c r="D107" t="s">
        <v>280</v>
      </c>
      <c r="E107">
        <f>COUNTIF($C$1:C107,C107)</f>
        <v>3</v>
      </c>
      <c r="F107" t="str">
        <f t="shared" si="32"/>
        <v>26727063413</v>
      </c>
      <c r="G107">
        <f t="shared" si="33"/>
        <v>1</v>
      </c>
      <c r="H107">
        <f t="shared" si="41"/>
        <v>0</v>
      </c>
      <c r="I107" s="4">
        <v>2032401199</v>
      </c>
      <c r="J107" s="5">
        <f t="shared" si="50"/>
        <v>4</v>
      </c>
      <c r="K107" s="5">
        <f t="shared" si="51"/>
        <v>4</v>
      </c>
      <c r="L107" s="5" t="str">
        <f t="shared" si="42"/>
        <v>195, 255, 264, 466</v>
      </c>
      <c r="M107" s="5" t="str">
        <f t="shared" si="43"/>
        <v>Iza pg ,Iza pg ,Iza (f) ,Iza (amiga do juca) pg</v>
      </c>
      <c r="N107">
        <f t="shared" si="52"/>
        <v>0</v>
      </c>
      <c r="P107">
        <f t="shared" si="53"/>
        <v>195</v>
      </c>
      <c r="Q107" t="str">
        <f t="shared" si="56"/>
        <v>, 255</v>
      </c>
      <c r="R107" t="str">
        <f t="shared" si="56"/>
        <v>, 264</v>
      </c>
      <c r="S107" t="str">
        <f t="shared" si="56"/>
        <v>, 466</v>
      </c>
      <c r="T107" t="str">
        <f t="shared" si="56"/>
        <v/>
      </c>
      <c r="U107" t="str">
        <f t="shared" si="56"/>
        <v/>
      </c>
      <c r="V107" t="str">
        <f t="shared" si="56"/>
        <v/>
      </c>
      <c r="Z107" t="str">
        <f t="shared" si="54"/>
        <v>Iza pg</v>
      </c>
      <c r="AA107" t="str">
        <f t="shared" si="57"/>
        <v xml:space="preserve"> ,Iza pg</v>
      </c>
      <c r="AB107" t="str">
        <f t="shared" si="57"/>
        <v xml:space="preserve"> ,Iza (f)</v>
      </c>
      <c r="AC107" t="str">
        <f t="shared" si="57"/>
        <v xml:space="preserve"> ,Iza (amiga do juca) pg</v>
      </c>
      <c r="AD107" t="str">
        <f t="shared" si="57"/>
        <v/>
      </c>
      <c r="AE107" t="str">
        <f t="shared" si="57"/>
        <v/>
      </c>
      <c r="AF107" t="str">
        <f t="shared" si="57"/>
        <v/>
      </c>
      <c r="AV107">
        <v>106</v>
      </c>
      <c r="AW107" t="s">
        <v>81</v>
      </c>
      <c r="BM107">
        <v>106</v>
      </c>
      <c r="BN107" t="s">
        <v>337</v>
      </c>
      <c r="BO107" t="str">
        <f t="shared" si="39"/>
        <v>UEVERTON L FERREIRA pg</v>
      </c>
      <c r="BP107" t="b">
        <f t="shared" si="55"/>
        <v>1</v>
      </c>
    </row>
    <row r="108" spans="1:68">
      <c r="A108">
        <v>107</v>
      </c>
      <c r="B108" t="s">
        <v>84</v>
      </c>
      <c r="D108" t="s">
        <v>281</v>
      </c>
      <c r="E108">
        <f>COUNTIF($C$1:C108,C108)</f>
        <v>0</v>
      </c>
      <c r="F108" t="str">
        <f t="shared" si="32"/>
        <v>0</v>
      </c>
      <c r="G108">
        <f t="shared" si="33"/>
        <v>0</v>
      </c>
      <c r="H108">
        <f t="shared" si="41"/>
        <v>0</v>
      </c>
      <c r="I108" s="2">
        <v>2034503366</v>
      </c>
      <c r="J108" s="3">
        <f t="shared" si="50"/>
        <v>1</v>
      </c>
      <c r="K108" s="3">
        <f t="shared" si="51"/>
        <v>1</v>
      </c>
      <c r="L108" s="3" t="str">
        <f t="shared" si="42"/>
        <v>197</v>
      </c>
      <c r="M108" s="3" t="str">
        <f t="shared" si="43"/>
        <v>WADSON FRANCO pg</v>
      </c>
      <c r="N108">
        <f t="shared" si="52"/>
        <v>0</v>
      </c>
      <c r="P108">
        <f t="shared" si="53"/>
        <v>197</v>
      </c>
      <c r="Q108" t="str">
        <f t="shared" si="56"/>
        <v/>
      </c>
      <c r="R108" t="str">
        <f t="shared" si="56"/>
        <v/>
      </c>
      <c r="S108" t="str">
        <f t="shared" si="56"/>
        <v/>
      </c>
      <c r="T108" t="str">
        <f t="shared" si="56"/>
        <v/>
      </c>
      <c r="U108" t="str">
        <f t="shared" si="56"/>
        <v/>
      </c>
      <c r="V108" t="str">
        <f t="shared" si="56"/>
        <v/>
      </c>
      <c r="Z108" t="str">
        <f t="shared" si="54"/>
        <v>WADSON FRANCO pg</v>
      </c>
      <c r="AA108" t="str">
        <f t="shared" si="57"/>
        <v/>
      </c>
      <c r="AB108" t="str">
        <f t="shared" si="57"/>
        <v/>
      </c>
      <c r="AC108" t="str">
        <f t="shared" si="57"/>
        <v/>
      </c>
      <c r="AD108" t="str">
        <f t="shared" si="57"/>
        <v/>
      </c>
      <c r="AE108" t="str">
        <f t="shared" si="57"/>
        <v/>
      </c>
      <c r="AF108" t="str">
        <f t="shared" si="57"/>
        <v/>
      </c>
      <c r="AV108">
        <v>107</v>
      </c>
      <c r="AW108" t="s">
        <v>84</v>
      </c>
      <c r="BM108">
        <v>107</v>
      </c>
      <c r="BN108" t="s">
        <v>84</v>
      </c>
      <c r="BO108" t="str">
        <f t="shared" si="39"/>
        <v>RENATO ANDRADE</v>
      </c>
      <c r="BP108" t="b">
        <f t="shared" si="55"/>
        <v>1</v>
      </c>
    </row>
    <row r="109" spans="1:68">
      <c r="A109">
        <v>108</v>
      </c>
      <c r="B109" t="s">
        <v>85</v>
      </c>
      <c r="C109" s="1">
        <v>2032432447</v>
      </c>
      <c r="D109" t="s">
        <v>280</v>
      </c>
      <c r="E109">
        <f>COUNTIF($C$1:C109,C109)</f>
        <v>1</v>
      </c>
      <c r="F109" t="str">
        <f t="shared" si="32"/>
        <v>20324324471</v>
      </c>
      <c r="G109">
        <f t="shared" si="33"/>
        <v>0</v>
      </c>
      <c r="H109">
        <f t="shared" si="41"/>
        <v>0</v>
      </c>
      <c r="I109" s="4">
        <v>9148048287</v>
      </c>
      <c r="J109" s="5">
        <f t="shared" si="50"/>
        <v>2</v>
      </c>
      <c r="K109" s="5">
        <f t="shared" si="51"/>
        <v>0</v>
      </c>
      <c r="L109" s="5" t="str">
        <f t="shared" si="42"/>
        <v>199, 499</v>
      </c>
      <c r="M109" s="5" t="str">
        <f t="shared" si="43"/>
        <v>TIA VERA ,TIA VERA</v>
      </c>
      <c r="N109">
        <f t="shared" si="52"/>
        <v>2</v>
      </c>
      <c r="P109">
        <f t="shared" si="53"/>
        <v>199</v>
      </c>
      <c r="Q109" t="str">
        <f t="shared" si="56"/>
        <v>, 499</v>
      </c>
      <c r="R109" t="str">
        <f t="shared" si="56"/>
        <v/>
      </c>
      <c r="S109" t="str">
        <f t="shared" si="56"/>
        <v/>
      </c>
      <c r="T109" t="str">
        <f t="shared" si="56"/>
        <v/>
      </c>
      <c r="U109" t="str">
        <f t="shared" si="56"/>
        <v/>
      </c>
      <c r="V109" t="str">
        <f t="shared" si="56"/>
        <v/>
      </c>
      <c r="Z109" t="str">
        <f t="shared" si="54"/>
        <v>TIA VERA</v>
      </c>
      <c r="AA109" t="str">
        <f t="shared" si="57"/>
        <v xml:space="preserve"> ,TIA VERA</v>
      </c>
      <c r="AB109" t="str">
        <f t="shared" si="57"/>
        <v/>
      </c>
      <c r="AC109" t="str">
        <f t="shared" si="57"/>
        <v/>
      </c>
      <c r="AD109" t="str">
        <f t="shared" si="57"/>
        <v/>
      </c>
      <c r="AE109" t="str">
        <f t="shared" si="57"/>
        <v/>
      </c>
      <c r="AF109" t="str">
        <f t="shared" si="57"/>
        <v/>
      </c>
      <c r="AV109">
        <v>108</v>
      </c>
      <c r="AW109" t="s">
        <v>85</v>
      </c>
      <c r="BM109">
        <v>108</v>
      </c>
      <c r="BN109" t="s">
        <v>85</v>
      </c>
      <c r="BO109" t="str">
        <f t="shared" si="39"/>
        <v>WIGNER LIMA</v>
      </c>
      <c r="BP109" t="b">
        <f t="shared" si="55"/>
        <v>1</v>
      </c>
    </row>
    <row r="110" spans="1:68">
      <c r="A110">
        <v>109</v>
      </c>
      <c r="B110" t="s">
        <v>86</v>
      </c>
      <c r="D110" t="s">
        <v>281</v>
      </c>
      <c r="E110">
        <f>COUNTIF($C$1:C110,C110)</f>
        <v>0</v>
      </c>
      <c r="F110" t="str">
        <f t="shared" si="32"/>
        <v>0</v>
      </c>
      <c r="G110">
        <f t="shared" si="33"/>
        <v>0</v>
      </c>
      <c r="H110">
        <f t="shared" si="41"/>
        <v>0</v>
      </c>
      <c r="I110" s="2">
        <v>9144478366</v>
      </c>
      <c r="J110" s="3">
        <f t="shared" si="50"/>
        <v>1</v>
      </c>
      <c r="K110" s="3">
        <f t="shared" si="51"/>
        <v>0</v>
      </c>
      <c r="L110" s="3" t="str">
        <f t="shared" si="42"/>
        <v>200</v>
      </c>
      <c r="M110" s="3" t="str">
        <f t="shared" si="43"/>
        <v>Ricardo Souza</v>
      </c>
      <c r="N110">
        <f t="shared" si="52"/>
        <v>1</v>
      </c>
      <c r="P110">
        <f t="shared" si="53"/>
        <v>200</v>
      </c>
      <c r="Q110" t="str">
        <f t="shared" si="56"/>
        <v/>
      </c>
      <c r="R110" t="str">
        <f t="shared" si="56"/>
        <v/>
      </c>
      <c r="S110" t="str">
        <f t="shared" si="56"/>
        <v/>
      </c>
      <c r="T110" t="str">
        <f t="shared" si="56"/>
        <v/>
      </c>
      <c r="U110" t="str">
        <f t="shared" si="56"/>
        <v/>
      </c>
      <c r="V110" t="str">
        <f t="shared" si="56"/>
        <v/>
      </c>
      <c r="Z110" t="str">
        <f t="shared" si="54"/>
        <v>Ricardo Souza</v>
      </c>
      <c r="AA110" t="str">
        <f t="shared" si="57"/>
        <v/>
      </c>
      <c r="AB110" t="str">
        <f t="shared" si="57"/>
        <v/>
      </c>
      <c r="AC110" t="str">
        <f t="shared" si="57"/>
        <v/>
      </c>
      <c r="AD110" t="str">
        <f t="shared" si="57"/>
        <v/>
      </c>
      <c r="AE110" t="str">
        <f t="shared" si="57"/>
        <v/>
      </c>
      <c r="AF110" t="str">
        <f t="shared" si="57"/>
        <v/>
      </c>
      <c r="AV110">
        <v>109</v>
      </c>
      <c r="AW110" t="s">
        <v>86</v>
      </c>
      <c r="BM110">
        <v>109</v>
      </c>
      <c r="BN110" t="s">
        <v>86</v>
      </c>
      <c r="BO110" t="str">
        <f t="shared" si="39"/>
        <v>IURI</v>
      </c>
      <c r="BP110" t="b">
        <f t="shared" si="55"/>
        <v>1</v>
      </c>
    </row>
    <row r="111" spans="1:68">
      <c r="A111">
        <v>110</v>
      </c>
      <c r="B111" t="s">
        <v>39</v>
      </c>
      <c r="C111" s="1">
        <v>2038185657</v>
      </c>
      <c r="D111" t="s">
        <v>280</v>
      </c>
      <c r="E111">
        <f>COUNTIF($C$1:C111,C111)</f>
        <v>2</v>
      </c>
      <c r="F111" t="str">
        <f t="shared" si="32"/>
        <v>20381856572</v>
      </c>
      <c r="G111">
        <f t="shared" si="33"/>
        <v>1</v>
      </c>
      <c r="H111">
        <f t="shared" si="41"/>
        <v>0</v>
      </c>
      <c r="I111" s="4">
        <v>2036192141</v>
      </c>
      <c r="J111" s="5">
        <f t="shared" si="50"/>
        <v>1</v>
      </c>
      <c r="K111" s="5">
        <f t="shared" si="51"/>
        <v>0</v>
      </c>
      <c r="L111" s="5" t="str">
        <f t="shared" si="42"/>
        <v>201</v>
      </c>
      <c r="M111" s="5" t="str">
        <f t="shared" si="43"/>
        <v>FABIAN</v>
      </c>
      <c r="N111">
        <f t="shared" si="52"/>
        <v>1</v>
      </c>
      <c r="P111">
        <f t="shared" si="53"/>
        <v>201</v>
      </c>
      <c r="Q111" t="str">
        <f t="shared" si="56"/>
        <v/>
      </c>
      <c r="R111" t="str">
        <f t="shared" si="56"/>
        <v/>
      </c>
      <c r="S111" t="str">
        <f t="shared" si="56"/>
        <v/>
      </c>
      <c r="T111" t="str">
        <f t="shared" si="56"/>
        <v/>
      </c>
      <c r="U111" t="str">
        <f t="shared" si="56"/>
        <v/>
      </c>
      <c r="V111" t="str">
        <f t="shared" si="56"/>
        <v/>
      </c>
      <c r="Z111" t="str">
        <f t="shared" si="54"/>
        <v>FABIAN</v>
      </c>
      <c r="AA111" t="str">
        <f t="shared" si="57"/>
        <v/>
      </c>
      <c r="AB111" t="str">
        <f t="shared" si="57"/>
        <v/>
      </c>
      <c r="AC111" t="str">
        <f t="shared" si="57"/>
        <v/>
      </c>
      <c r="AD111" t="str">
        <f t="shared" si="57"/>
        <v/>
      </c>
      <c r="AE111" t="str">
        <f t="shared" si="57"/>
        <v/>
      </c>
      <c r="AF111" t="str">
        <f t="shared" si="57"/>
        <v/>
      </c>
      <c r="AV111">
        <v>110</v>
      </c>
      <c r="AW111" t="s">
        <v>39</v>
      </c>
      <c r="BM111">
        <v>110</v>
      </c>
      <c r="BN111" t="s">
        <v>39</v>
      </c>
      <c r="BO111" t="str">
        <f t="shared" si="39"/>
        <v>JESSICA pg</v>
      </c>
      <c r="BP111" t="b">
        <f t="shared" si="55"/>
        <v>1</v>
      </c>
    </row>
    <row r="112" spans="1:68">
      <c r="A112">
        <v>111</v>
      </c>
      <c r="B112" t="s">
        <v>310</v>
      </c>
      <c r="C112" s="1">
        <v>9148302799</v>
      </c>
      <c r="D112" t="s">
        <v>280</v>
      </c>
      <c r="E112">
        <f>COUNTIF($C$1:C112,C112)</f>
        <v>1</v>
      </c>
      <c r="F112" t="str">
        <f t="shared" si="32"/>
        <v>91483027991</v>
      </c>
      <c r="G112">
        <f t="shared" si="33"/>
        <v>1</v>
      </c>
      <c r="H112">
        <f t="shared" si="41"/>
        <v>0</v>
      </c>
      <c r="I112" s="2">
        <v>2038220554</v>
      </c>
      <c r="J112" s="3">
        <f t="shared" si="50"/>
        <v>1</v>
      </c>
      <c r="K112" s="3">
        <f t="shared" si="51"/>
        <v>1</v>
      </c>
      <c r="L112" s="3" t="str">
        <f t="shared" si="42"/>
        <v>203</v>
      </c>
      <c r="M112" s="3" t="str">
        <f t="shared" si="43"/>
        <v>ERIQUE DE FIGUEREDO pg</v>
      </c>
      <c r="N112">
        <f t="shared" si="52"/>
        <v>0</v>
      </c>
      <c r="P112">
        <f t="shared" si="53"/>
        <v>203</v>
      </c>
      <c r="Q112" t="str">
        <f t="shared" ref="Q112:V121" si="58">IFERROR(", "&amp;INDEX($A$2:$A$501,MATCH($I112&amp;Q$1,$F$2:$F$501,0)),"")</f>
        <v/>
      </c>
      <c r="R112" t="str">
        <f t="shared" si="58"/>
        <v/>
      </c>
      <c r="S112" t="str">
        <f t="shared" si="58"/>
        <v/>
      </c>
      <c r="T112" t="str">
        <f t="shared" si="58"/>
        <v/>
      </c>
      <c r="U112" t="str">
        <f t="shared" si="58"/>
        <v/>
      </c>
      <c r="V112" t="str">
        <f t="shared" si="58"/>
        <v/>
      </c>
      <c r="Z112" t="str">
        <f t="shared" si="54"/>
        <v>ERIQUE DE FIGUEREDO pg</v>
      </c>
      <c r="AA112" t="str">
        <f t="shared" ref="AA112:AF121" si="59">IFERROR(" ,"&amp;INDEX($B$2:$B$501,MATCH($I112&amp;AA$1,$F$2:$F$501,0)),"")</f>
        <v/>
      </c>
      <c r="AB112" t="str">
        <f t="shared" si="59"/>
        <v/>
      </c>
      <c r="AC112" t="str">
        <f t="shared" si="59"/>
        <v/>
      </c>
      <c r="AD112" t="str">
        <f t="shared" si="59"/>
        <v/>
      </c>
      <c r="AE112" t="str">
        <f t="shared" si="59"/>
        <v/>
      </c>
      <c r="AF112" t="str">
        <f t="shared" si="59"/>
        <v/>
      </c>
      <c r="AV112">
        <v>111</v>
      </c>
      <c r="AW112" t="s">
        <v>87</v>
      </c>
      <c r="BM112">
        <v>111</v>
      </c>
      <c r="BN112" t="s">
        <v>310</v>
      </c>
      <c r="BO112" t="str">
        <f t="shared" si="39"/>
        <v>RONAN pg</v>
      </c>
      <c r="BP112" t="b">
        <f t="shared" si="55"/>
        <v>1</v>
      </c>
    </row>
    <row r="113" spans="1:68">
      <c r="A113">
        <v>112</v>
      </c>
      <c r="B113" t="s">
        <v>88</v>
      </c>
      <c r="C113" s="1">
        <v>6313360222</v>
      </c>
      <c r="D113" t="s">
        <v>280</v>
      </c>
      <c r="E113">
        <f>COUNTIF($C$1:C113,C113)</f>
        <v>1</v>
      </c>
      <c r="F113" t="str">
        <f t="shared" si="32"/>
        <v>63133602221</v>
      </c>
      <c r="G113">
        <f t="shared" si="33"/>
        <v>1</v>
      </c>
      <c r="H113">
        <f t="shared" si="41"/>
        <v>0</v>
      </c>
      <c r="I113" s="4">
        <v>9147558956</v>
      </c>
      <c r="J113" s="5">
        <f t="shared" si="50"/>
        <v>3</v>
      </c>
      <c r="K113" s="5">
        <f t="shared" si="51"/>
        <v>0</v>
      </c>
      <c r="L113" s="5" t="str">
        <f t="shared" si="42"/>
        <v>209, 210, 220</v>
      </c>
      <c r="M113" s="5" t="str">
        <f t="shared" si="43"/>
        <v>TIAGO ARAUJO ,TIAGO ARAUJO ,TIAGO ARAUJO</v>
      </c>
      <c r="N113">
        <f t="shared" si="52"/>
        <v>3</v>
      </c>
      <c r="P113">
        <f t="shared" si="53"/>
        <v>209</v>
      </c>
      <c r="Q113" t="str">
        <f t="shared" si="58"/>
        <v>, 210</v>
      </c>
      <c r="R113" t="str">
        <f t="shared" si="58"/>
        <v>, 220</v>
      </c>
      <c r="S113" t="str">
        <f t="shared" si="58"/>
        <v/>
      </c>
      <c r="T113" t="str">
        <f t="shared" si="58"/>
        <v/>
      </c>
      <c r="U113" t="str">
        <f t="shared" si="58"/>
        <v/>
      </c>
      <c r="V113" t="str">
        <f t="shared" si="58"/>
        <v/>
      </c>
      <c r="Z113" t="str">
        <f t="shared" si="54"/>
        <v>TIAGO ARAUJO</v>
      </c>
      <c r="AA113" t="str">
        <f t="shared" si="59"/>
        <v xml:space="preserve"> ,TIAGO ARAUJO</v>
      </c>
      <c r="AB113" t="str">
        <f t="shared" si="59"/>
        <v xml:space="preserve"> ,TIAGO ARAUJO</v>
      </c>
      <c r="AC113" t="str">
        <f t="shared" si="59"/>
        <v/>
      </c>
      <c r="AD113" t="str">
        <f t="shared" si="59"/>
        <v/>
      </c>
      <c r="AE113" t="str">
        <f t="shared" si="59"/>
        <v/>
      </c>
      <c r="AF113" t="str">
        <f t="shared" si="59"/>
        <v/>
      </c>
      <c r="AV113">
        <v>112</v>
      </c>
      <c r="AW113" t="s">
        <v>88</v>
      </c>
      <c r="BM113">
        <v>112</v>
      </c>
      <c r="BN113" t="s">
        <v>88</v>
      </c>
      <c r="BO113" t="str">
        <f t="shared" si="39"/>
        <v>MARCOS VINICIUS pg</v>
      </c>
      <c r="BP113" t="b">
        <f t="shared" si="55"/>
        <v>1</v>
      </c>
    </row>
    <row r="114" spans="1:68">
      <c r="A114">
        <v>113</v>
      </c>
      <c r="B114" t="s">
        <v>89</v>
      </c>
      <c r="C114" s="1">
        <v>2035456330</v>
      </c>
      <c r="D114" t="s">
        <v>280</v>
      </c>
      <c r="E114">
        <f>COUNTIF($C$1:C114,C114)</f>
        <v>1</v>
      </c>
      <c r="F114" t="str">
        <f t="shared" si="32"/>
        <v>20354563301</v>
      </c>
      <c r="G114">
        <f t="shared" si="33"/>
        <v>0</v>
      </c>
      <c r="H114">
        <f t="shared" si="41"/>
        <v>0</v>
      </c>
      <c r="I114" s="2">
        <v>2033606809</v>
      </c>
      <c r="J114" s="3">
        <f t="shared" si="50"/>
        <v>1</v>
      </c>
      <c r="K114" s="3">
        <f t="shared" si="51"/>
        <v>1</v>
      </c>
      <c r="L114" s="3" t="str">
        <f t="shared" si="42"/>
        <v>211</v>
      </c>
      <c r="M114" s="3" t="str">
        <f t="shared" si="43"/>
        <v>Roger/GUI pg</v>
      </c>
      <c r="N114">
        <f t="shared" si="52"/>
        <v>0</v>
      </c>
      <c r="P114">
        <f t="shared" si="53"/>
        <v>211</v>
      </c>
      <c r="Q114" t="str">
        <f t="shared" si="58"/>
        <v/>
      </c>
      <c r="R114" t="str">
        <f t="shared" si="58"/>
        <v/>
      </c>
      <c r="S114" t="str">
        <f t="shared" si="58"/>
        <v/>
      </c>
      <c r="T114" t="str">
        <f t="shared" si="58"/>
        <v/>
      </c>
      <c r="U114" t="str">
        <f t="shared" si="58"/>
        <v/>
      </c>
      <c r="V114" t="str">
        <f t="shared" si="58"/>
        <v/>
      </c>
      <c r="Z114" t="str">
        <f t="shared" si="54"/>
        <v>Roger/GUI pg</v>
      </c>
      <c r="AA114" t="str">
        <f t="shared" si="59"/>
        <v/>
      </c>
      <c r="AB114" t="str">
        <f t="shared" si="59"/>
        <v/>
      </c>
      <c r="AC114" t="str">
        <f t="shared" si="59"/>
        <v/>
      </c>
      <c r="AD114" t="str">
        <f t="shared" si="59"/>
        <v/>
      </c>
      <c r="AE114" t="str">
        <f t="shared" si="59"/>
        <v/>
      </c>
      <c r="AF114" t="str">
        <f t="shared" si="59"/>
        <v/>
      </c>
      <c r="AV114">
        <v>113</v>
      </c>
      <c r="AW114" t="s">
        <v>89</v>
      </c>
      <c r="BM114">
        <v>113</v>
      </c>
      <c r="BN114" t="s">
        <v>89</v>
      </c>
      <c r="BO114" t="str">
        <f t="shared" si="39"/>
        <v>RONIVON</v>
      </c>
      <c r="BP114" t="b">
        <f t="shared" si="55"/>
        <v>1</v>
      </c>
    </row>
    <row r="115" spans="1:68">
      <c r="A115">
        <v>114</v>
      </c>
      <c r="B115" t="s">
        <v>90</v>
      </c>
      <c r="C115" s="1">
        <v>4752142518</v>
      </c>
      <c r="D115" t="s">
        <v>280</v>
      </c>
      <c r="E115">
        <f>COUNTIF($C$1:C115,C115)</f>
        <v>1</v>
      </c>
      <c r="F115" t="str">
        <f t="shared" si="32"/>
        <v>47521425181</v>
      </c>
      <c r="G115">
        <f t="shared" si="33"/>
        <v>0</v>
      </c>
      <c r="H115">
        <f t="shared" si="41"/>
        <v>0</v>
      </c>
      <c r="I115" s="4">
        <v>9144695805</v>
      </c>
      <c r="J115" s="5">
        <f t="shared" si="50"/>
        <v>3</v>
      </c>
      <c r="K115" s="5">
        <f t="shared" si="51"/>
        <v>2</v>
      </c>
      <c r="L115" s="5" t="str">
        <f t="shared" si="42"/>
        <v>213, 277, 391</v>
      </c>
      <c r="M115" s="5" t="str">
        <f t="shared" si="43"/>
        <v>ZE CARLINHO /joao Batista ,JOAO BATISTA pg ,JOAO BATISTA pg</v>
      </c>
      <c r="N115">
        <f t="shared" si="52"/>
        <v>1</v>
      </c>
      <c r="P115">
        <f t="shared" si="53"/>
        <v>213</v>
      </c>
      <c r="Q115" t="str">
        <f t="shared" si="58"/>
        <v>, 277</v>
      </c>
      <c r="R115" t="str">
        <f t="shared" si="58"/>
        <v>, 391</v>
      </c>
      <c r="S115" t="str">
        <f t="shared" si="58"/>
        <v/>
      </c>
      <c r="T115" t="str">
        <f t="shared" si="58"/>
        <v/>
      </c>
      <c r="U115" t="str">
        <f t="shared" si="58"/>
        <v/>
      </c>
      <c r="V115" t="str">
        <f t="shared" si="58"/>
        <v/>
      </c>
      <c r="Z115" t="str">
        <f t="shared" si="54"/>
        <v>ZE CARLINHO /joao Batista</v>
      </c>
      <c r="AA115" t="str">
        <f t="shared" si="59"/>
        <v xml:space="preserve"> ,JOAO BATISTA pg</v>
      </c>
      <c r="AB115" t="str">
        <f t="shared" si="59"/>
        <v xml:space="preserve"> ,JOAO BATISTA pg</v>
      </c>
      <c r="AC115" t="str">
        <f t="shared" si="59"/>
        <v/>
      </c>
      <c r="AD115" t="str">
        <f t="shared" si="59"/>
        <v/>
      </c>
      <c r="AE115" t="str">
        <f t="shared" si="59"/>
        <v/>
      </c>
      <c r="AF115" t="str">
        <f t="shared" si="59"/>
        <v/>
      </c>
      <c r="AV115">
        <v>114</v>
      </c>
      <c r="AW115" t="s">
        <v>90</v>
      </c>
      <c r="BM115">
        <v>114</v>
      </c>
      <c r="BN115" t="s">
        <v>90</v>
      </c>
      <c r="BO115" t="str">
        <f t="shared" si="39"/>
        <v>Jonata</v>
      </c>
      <c r="BP115" t="b">
        <f t="shared" si="55"/>
        <v>1</v>
      </c>
    </row>
    <row r="116" spans="1:68">
      <c r="A116">
        <v>115</v>
      </c>
      <c r="B116" t="s">
        <v>311</v>
      </c>
      <c r="C116" s="1">
        <v>2035192109</v>
      </c>
      <c r="D116" t="s">
        <v>313</v>
      </c>
      <c r="E116">
        <f>COUNTIF($C$1:C116,C116)</f>
        <v>1</v>
      </c>
      <c r="F116" t="str">
        <f t="shared" si="32"/>
        <v>20351921091</v>
      </c>
      <c r="G116">
        <f t="shared" si="33"/>
        <v>1</v>
      </c>
      <c r="H116">
        <f t="shared" si="41"/>
        <v>0</v>
      </c>
      <c r="I116" s="2">
        <v>9142270568</v>
      </c>
      <c r="J116" s="3">
        <f t="shared" si="50"/>
        <v>5</v>
      </c>
      <c r="K116" s="3">
        <f t="shared" si="51"/>
        <v>0</v>
      </c>
      <c r="L116" s="3" t="str">
        <f t="shared" si="42"/>
        <v>216, 223, 257, 307, 400</v>
      </c>
      <c r="M116" s="3" t="str">
        <f t="shared" si="43"/>
        <v>Danilex ,DANILEX ,DANILEX ,DANILEX ,DANILEX</v>
      </c>
      <c r="N116">
        <f t="shared" si="52"/>
        <v>5</v>
      </c>
      <c r="P116">
        <f t="shared" si="53"/>
        <v>216</v>
      </c>
      <c r="Q116" t="str">
        <f t="shared" si="58"/>
        <v>, 223</v>
      </c>
      <c r="R116" t="str">
        <f t="shared" si="58"/>
        <v>, 257</v>
      </c>
      <c r="S116" t="str">
        <f t="shared" si="58"/>
        <v>, 307</v>
      </c>
      <c r="T116" t="str">
        <f t="shared" si="58"/>
        <v>, 400</v>
      </c>
      <c r="U116" t="str">
        <f t="shared" si="58"/>
        <v/>
      </c>
      <c r="V116" t="str">
        <f t="shared" si="58"/>
        <v/>
      </c>
      <c r="Z116" t="str">
        <f t="shared" si="54"/>
        <v>Danilex</v>
      </c>
      <c r="AA116" t="str">
        <f t="shared" si="59"/>
        <v xml:space="preserve"> ,DANILEX</v>
      </c>
      <c r="AB116" t="str">
        <f t="shared" si="59"/>
        <v xml:space="preserve"> ,DANILEX</v>
      </c>
      <c r="AC116" t="str">
        <f t="shared" si="59"/>
        <v xml:space="preserve"> ,DANILEX</v>
      </c>
      <c r="AD116" t="str">
        <f t="shared" si="59"/>
        <v xml:space="preserve"> ,DANILEX</v>
      </c>
      <c r="AE116" t="str">
        <f t="shared" si="59"/>
        <v/>
      </c>
      <c r="AF116" t="str">
        <f t="shared" si="59"/>
        <v/>
      </c>
      <c r="AV116">
        <v>115</v>
      </c>
      <c r="AW116" t="s">
        <v>91</v>
      </c>
      <c r="BM116">
        <v>115</v>
      </c>
      <c r="BN116" t="s">
        <v>311</v>
      </c>
      <c r="BO116" t="str">
        <f t="shared" si="39"/>
        <v>Vandao pg</v>
      </c>
      <c r="BP116" t="b">
        <f t="shared" si="55"/>
        <v>1</v>
      </c>
    </row>
    <row r="117" spans="1:68">
      <c r="A117">
        <v>116</v>
      </c>
      <c r="B117" t="s">
        <v>312</v>
      </c>
      <c r="C117" s="1">
        <v>2034909082</v>
      </c>
      <c r="D117" t="s">
        <v>313</v>
      </c>
      <c r="E117">
        <f>COUNTIF($C$1:C117,C117)</f>
        <v>1</v>
      </c>
      <c r="F117" t="str">
        <f t="shared" si="32"/>
        <v>20349090821</v>
      </c>
      <c r="G117">
        <f t="shared" si="33"/>
        <v>1</v>
      </c>
      <c r="H117">
        <f t="shared" si="41"/>
        <v>0</v>
      </c>
      <c r="I117" s="4">
        <v>5511973919591</v>
      </c>
      <c r="J117" s="5">
        <f t="shared" si="50"/>
        <v>1</v>
      </c>
      <c r="K117" s="5">
        <f t="shared" si="51"/>
        <v>0</v>
      </c>
      <c r="L117" s="5" t="str">
        <f t="shared" si="42"/>
        <v>222</v>
      </c>
      <c r="M117" s="5" t="str">
        <f t="shared" si="43"/>
        <v>ALEXANDRE BATISTA</v>
      </c>
      <c r="N117">
        <f t="shared" si="52"/>
        <v>1</v>
      </c>
      <c r="P117">
        <f t="shared" si="53"/>
        <v>222</v>
      </c>
      <c r="Q117" t="str">
        <f t="shared" si="58"/>
        <v/>
      </c>
      <c r="R117" t="str">
        <f t="shared" si="58"/>
        <v/>
      </c>
      <c r="S117" t="str">
        <f t="shared" si="58"/>
        <v/>
      </c>
      <c r="T117" t="str">
        <f t="shared" si="58"/>
        <v/>
      </c>
      <c r="U117" t="str">
        <f t="shared" si="58"/>
        <v/>
      </c>
      <c r="V117" t="str">
        <f t="shared" si="58"/>
        <v/>
      </c>
      <c r="Z117" t="str">
        <f t="shared" si="54"/>
        <v>ALEXANDRE BATISTA</v>
      </c>
      <c r="AA117" t="str">
        <f t="shared" si="59"/>
        <v/>
      </c>
      <c r="AB117" t="str">
        <f t="shared" si="59"/>
        <v/>
      </c>
      <c r="AC117" t="str">
        <f t="shared" si="59"/>
        <v/>
      </c>
      <c r="AD117" t="str">
        <f t="shared" si="59"/>
        <v/>
      </c>
      <c r="AE117" t="str">
        <f t="shared" si="59"/>
        <v/>
      </c>
      <c r="AF117" t="str">
        <f t="shared" si="59"/>
        <v/>
      </c>
      <c r="AV117">
        <v>116</v>
      </c>
      <c r="AW117" t="s">
        <v>92</v>
      </c>
      <c r="BM117">
        <v>116</v>
      </c>
      <c r="BN117" t="s">
        <v>312</v>
      </c>
      <c r="BO117" t="str">
        <f t="shared" si="39"/>
        <v>Lucas samorá pg</v>
      </c>
      <c r="BP117" t="b">
        <f t="shared" si="55"/>
        <v>1</v>
      </c>
    </row>
    <row r="118" spans="1:68">
      <c r="A118">
        <v>117</v>
      </c>
      <c r="B118" t="s">
        <v>357</v>
      </c>
      <c r="C118" s="1">
        <v>2034029369</v>
      </c>
      <c r="D118" t="s">
        <v>280</v>
      </c>
      <c r="E118">
        <f>COUNTIF($C$1:C118,C118)</f>
        <v>1</v>
      </c>
      <c r="F118" t="str">
        <f t="shared" si="32"/>
        <v>20340293691</v>
      </c>
      <c r="G118">
        <f t="shared" si="33"/>
        <v>1</v>
      </c>
      <c r="H118">
        <f t="shared" si="41"/>
        <v>0</v>
      </c>
      <c r="I118" s="2">
        <v>5515879636</v>
      </c>
      <c r="J118" s="3">
        <f t="shared" si="50"/>
        <v>2</v>
      </c>
      <c r="K118" s="3">
        <f t="shared" si="51"/>
        <v>2</v>
      </c>
      <c r="L118" s="3" t="str">
        <f t="shared" si="42"/>
        <v>225, 410</v>
      </c>
      <c r="M118" s="3" t="str">
        <f t="shared" si="43"/>
        <v>STEPHANIE /Eduardo pg ,RENZO /Eduardo pg</v>
      </c>
      <c r="N118">
        <f t="shared" si="52"/>
        <v>0</v>
      </c>
      <c r="P118">
        <f t="shared" si="53"/>
        <v>225</v>
      </c>
      <c r="Q118" t="str">
        <f t="shared" si="58"/>
        <v>, 410</v>
      </c>
      <c r="R118" t="str">
        <f t="shared" si="58"/>
        <v/>
      </c>
      <c r="S118" t="str">
        <f t="shared" si="58"/>
        <v/>
      </c>
      <c r="T118" t="str">
        <f t="shared" si="58"/>
        <v/>
      </c>
      <c r="U118" t="str">
        <f t="shared" si="58"/>
        <v/>
      </c>
      <c r="V118" t="str">
        <f t="shared" si="58"/>
        <v/>
      </c>
      <c r="Z118" t="str">
        <f t="shared" si="54"/>
        <v>STEPHANIE /Eduardo pg</v>
      </c>
      <c r="AA118" t="str">
        <f t="shared" si="59"/>
        <v xml:space="preserve"> ,RENZO /Eduardo pg</v>
      </c>
      <c r="AB118" t="str">
        <f t="shared" si="59"/>
        <v/>
      </c>
      <c r="AC118" t="str">
        <f t="shared" si="59"/>
        <v/>
      </c>
      <c r="AD118" t="str">
        <f t="shared" si="59"/>
        <v/>
      </c>
      <c r="AE118" t="str">
        <f t="shared" si="59"/>
        <v/>
      </c>
      <c r="AF118" t="str">
        <f t="shared" si="59"/>
        <v/>
      </c>
      <c r="AV118">
        <v>117</v>
      </c>
      <c r="AW118" t="s">
        <v>93</v>
      </c>
      <c r="BM118">
        <v>117</v>
      </c>
      <c r="BN118" t="s">
        <v>93</v>
      </c>
      <c r="BO118" t="str">
        <f t="shared" si="39"/>
        <v>Paulo pg</v>
      </c>
      <c r="BP118" t="b">
        <f t="shared" si="55"/>
        <v>0</v>
      </c>
    </row>
    <row r="119" spans="1:68">
      <c r="A119">
        <v>118</v>
      </c>
      <c r="B119" t="s">
        <v>89</v>
      </c>
      <c r="C119" s="1">
        <v>2035456330</v>
      </c>
      <c r="D119" t="s">
        <v>280</v>
      </c>
      <c r="E119">
        <f>COUNTIF($C$1:C119,C119)</f>
        <v>2</v>
      </c>
      <c r="F119" t="str">
        <f t="shared" si="32"/>
        <v>20354563302</v>
      </c>
      <c r="G119">
        <f t="shared" si="33"/>
        <v>0</v>
      </c>
      <c r="H119">
        <f t="shared" si="41"/>
        <v>0</v>
      </c>
      <c r="I119" s="4">
        <v>2036908251</v>
      </c>
      <c r="J119" s="5">
        <f t="shared" si="50"/>
        <v>4</v>
      </c>
      <c r="K119" s="5">
        <f t="shared" si="51"/>
        <v>0</v>
      </c>
      <c r="L119" s="5" t="str">
        <f t="shared" si="42"/>
        <v>228, 413, 434, 448</v>
      </c>
      <c r="M119" s="5" t="str">
        <f t="shared" si="43"/>
        <v>CARLOS ROSA ,SAMANTA ROSA /gallardo ,GEYRY ZUELITA /gallardo ,Marvin Rosa</v>
      </c>
      <c r="N119">
        <f t="shared" si="52"/>
        <v>4</v>
      </c>
      <c r="P119">
        <f t="shared" si="53"/>
        <v>228</v>
      </c>
      <c r="Q119" t="str">
        <f t="shared" si="58"/>
        <v>, 413</v>
      </c>
      <c r="R119" t="str">
        <f t="shared" si="58"/>
        <v>, 434</v>
      </c>
      <c r="S119" t="str">
        <f t="shared" si="58"/>
        <v>, 448</v>
      </c>
      <c r="T119" t="str">
        <f t="shared" si="58"/>
        <v/>
      </c>
      <c r="U119" t="str">
        <f t="shared" si="58"/>
        <v/>
      </c>
      <c r="V119" t="str">
        <f t="shared" si="58"/>
        <v/>
      </c>
      <c r="Z119" t="str">
        <f t="shared" si="54"/>
        <v>CARLOS ROSA</v>
      </c>
      <c r="AA119" t="str">
        <f t="shared" si="59"/>
        <v xml:space="preserve"> ,SAMANTA ROSA /gallardo</v>
      </c>
      <c r="AB119" t="str">
        <f t="shared" si="59"/>
        <v xml:space="preserve"> ,GEYRY ZUELITA /gallardo</v>
      </c>
      <c r="AC119" t="str">
        <f t="shared" si="59"/>
        <v xml:space="preserve"> ,Marvin Rosa</v>
      </c>
      <c r="AD119" t="str">
        <f t="shared" si="59"/>
        <v/>
      </c>
      <c r="AE119" t="str">
        <f t="shared" si="59"/>
        <v/>
      </c>
      <c r="AF119" t="str">
        <f t="shared" si="59"/>
        <v/>
      </c>
      <c r="AV119">
        <v>118</v>
      </c>
      <c r="AW119" t="s">
        <v>89</v>
      </c>
      <c r="BM119">
        <v>118</v>
      </c>
      <c r="BN119" t="s">
        <v>89</v>
      </c>
      <c r="BO119" t="str">
        <f t="shared" si="39"/>
        <v>RONIVON</v>
      </c>
      <c r="BP119" t="b">
        <f t="shared" si="55"/>
        <v>1</v>
      </c>
    </row>
    <row r="120" spans="1:68">
      <c r="A120">
        <v>119</v>
      </c>
      <c r="B120" t="s">
        <v>94</v>
      </c>
      <c r="D120" t="s">
        <v>281</v>
      </c>
      <c r="E120">
        <f>COUNTIF($C$1:C120,C120)</f>
        <v>0</v>
      </c>
      <c r="F120" t="str">
        <f t="shared" si="32"/>
        <v>0</v>
      </c>
      <c r="G120">
        <f t="shared" si="33"/>
        <v>0</v>
      </c>
      <c r="H120">
        <f t="shared" si="41"/>
        <v>0</v>
      </c>
      <c r="I120" s="2">
        <v>2039233002</v>
      </c>
      <c r="J120" s="3">
        <f t="shared" si="50"/>
        <v>2</v>
      </c>
      <c r="K120" s="3">
        <f t="shared" si="51"/>
        <v>0</v>
      </c>
      <c r="L120" s="3" t="str">
        <f t="shared" si="42"/>
        <v>230, 269</v>
      </c>
      <c r="M120" s="3" t="str">
        <f t="shared" si="43"/>
        <v>FELIX COSTA ,FELIX COSTA</v>
      </c>
      <c r="N120">
        <f t="shared" si="52"/>
        <v>2</v>
      </c>
      <c r="P120">
        <f t="shared" si="53"/>
        <v>230</v>
      </c>
      <c r="Q120" t="str">
        <f t="shared" si="58"/>
        <v>, 269</v>
      </c>
      <c r="R120" t="str">
        <f t="shared" si="58"/>
        <v/>
      </c>
      <c r="S120" t="str">
        <f t="shared" si="58"/>
        <v/>
      </c>
      <c r="T120" t="str">
        <f t="shared" si="58"/>
        <v/>
      </c>
      <c r="U120" t="str">
        <f t="shared" si="58"/>
        <v/>
      </c>
      <c r="V120" t="str">
        <f t="shared" si="58"/>
        <v/>
      </c>
      <c r="Z120" t="str">
        <f t="shared" si="54"/>
        <v>FELIX COSTA</v>
      </c>
      <c r="AA120" t="str">
        <f t="shared" si="59"/>
        <v xml:space="preserve"> ,FELIX COSTA</v>
      </c>
      <c r="AB120" t="str">
        <f t="shared" si="59"/>
        <v/>
      </c>
      <c r="AC120" t="str">
        <f t="shared" si="59"/>
        <v/>
      </c>
      <c r="AD120" t="str">
        <f t="shared" si="59"/>
        <v/>
      </c>
      <c r="AE120" t="str">
        <f t="shared" si="59"/>
        <v/>
      </c>
      <c r="AF120" t="str">
        <f t="shared" si="59"/>
        <v/>
      </c>
      <c r="AV120">
        <v>119</v>
      </c>
      <c r="AW120" t="s">
        <v>94</v>
      </c>
      <c r="BM120">
        <v>119</v>
      </c>
      <c r="BN120" t="s">
        <v>94</v>
      </c>
      <c r="BO120" t="str">
        <f t="shared" si="39"/>
        <v>Jonata vasque</v>
      </c>
      <c r="BP120" t="b">
        <f t="shared" si="55"/>
        <v>1</v>
      </c>
    </row>
    <row r="121" spans="1:68">
      <c r="A121">
        <v>120</v>
      </c>
      <c r="B121" t="s">
        <v>366</v>
      </c>
      <c r="D121" t="s">
        <v>281</v>
      </c>
      <c r="E121">
        <f>COUNTIF($C$1:C121,C121)</f>
        <v>0</v>
      </c>
      <c r="F121" t="str">
        <f t="shared" si="32"/>
        <v>0</v>
      </c>
      <c r="G121">
        <f t="shared" si="33"/>
        <v>0</v>
      </c>
      <c r="H121">
        <f t="shared" si="41"/>
        <v>0</v>
      </c>
      <c r="I121" s="4">
        <v>9143560756</v>
      </c>
      <c r="J121" s="5">
        <f t="shared" si="50"/>
        <v>2</v>
      </c>
      <c r="K121" s="5">
        <f t="shared" si="51"/>
        <v>0</v>
      </c>
      <c r="L121" s="5" t="str">
        <f t="shared" si="42"/>
        <v>235, 346</v>
      </c>
      <c r="M121" s="5" t="str">
        <f t="shared" si="43"/>
        <v>RAFAEL IDEAL BRASIL ,RAFAEL IDEAL BRASIL</v>
      </c>
      <c r="N121">
        <f t="shared" si="52"/>
        <v>2</v>
      </c>
      <c r="P121">
        <f t="shared" si="53"/>
        <v>235</v>
      </c>
      <c r="Q121" t="str">
        <f t="shared" si="58"/>
        <v>, 346</v>
      </c>
      <c r="R121" t="str">
        <f t="shared" si="58"/>
        <v/>
      </c>
      <c r="S121" t="str">
        <f t="shared" si="58"/>
        <v/>
      </c>
      <c r="T121" t="str">
        <f t="shared" si="58"/>
        <v/>
      </c>
      <c r="U121" t="str">
        <f t="shared" si="58"/>
        <v/>
      </c>
      <c r="V121" t="str">
        <f t="shared" si="58"/>
        <v/>
      </c>
      <c r="Z121" t="str">
        <f t="shared" si="54"/>
        <v>RAFAEL IDEAL BRASIL</v>
      </c>
      <c r="AA121" t="str">
        <f t="shared" si="59"/>
        <v xml:space="preserve"> ,RAFAEL IDEAL BRASIL</v>
      </c>
      <c r="AB121" t="str">
        <f t="shared" si="59"/>
        <v/>
      </c>
      <c r="AC121" t="str">
        <f t="shared" si="59"/>
        <v/>
      </c>
      <c r="AD121" t="str">
        <f t="shared" si="59"/>
        <v/>
      </c>
      <c r="AE121" t="str">
        <f t="shared" si="59"/>
        <v/>
      </c>
      <c r="AF121" t="str">
        <f t="shared" si="59"/>
        <v/>
      </c>
      <c r="AV121">
        <v>120</v>
      </c>
      <c r="AW121" t="s">
        <v>58</v>
      </c>
      <c r="BM121">
        <v>120</v>
      </c>
      <c r="BN121" t="s">
        <v>58</v>
      </c>
      <c r="BO121" t="str">
        <f t="shared" si="39"/>
        <v>ANDERSON POLICARPO (checar)</v>
      </c>
      <c r="BP121" t="b">
        <f t="shared" si="55"/>
        <v>0</v>
      </c>
    </row>
    <row r="122" spans="1:68">
      <c r="A122">
        <v>121</v>
      </c>
      <c r="B122" t="s">
        <v>305</v>
      </c>
      <c r="C122" s="1">
        <v>9147602272</v>
      </c>
      <c r="D122" t="s">
        <v>280</v>
      </c>
      <c r="E122">
        <f>COUNTIF($C$1:C122,C122)</f>
        <v>3</v>
      </c>
      <c r="F122" t="str">
        <f t="shared" si="32"/>
        <v>91476022723</v>
      </c>
      <c r="G122">
        <f t="shared" si="33"/>
        <v>1</v>
      </c>
      <c r="H122">
        <f t="shared" si="41"/>
        <v>0</v>
      </c>
      <c r="I122" s="2">
        <v>2034961500</v>
      </c>
      <c r="J122" s="3">
        <f t="shared" si="50"/>
        <v>1</v>
      </c>
      <c r="K122" s="3">
        <f t="shared" si="51"/>
        <v>1</v>
      </c>
      <c r="L122" s="3" t="str">
        <f t="shared" si="42"/>
        <v>237</v>
      </c>
      <c r="M122" s="3" t="str">
        <f t="shared" si="43"/>
        <v>Nilton pg</v>
      </c>
      <c r="N122">
        <f t="shared" si="52"/>
        <v>0</v>
      </c>
      <c r="P122">
        <f t="shared" si="53"/>
        <v>237</v>
      </c>
      <c r="Q122" t="str">
        <f t="shared" ref="Q122:V131" si="60">IFERROR(", "&amp;INDEX($A$2:$A$501,MATCH($I122&amp;Q$1,$F$2:$F$501,0)),"")</f>
        <v/>
      </c>
      <c r="R122" t="str">
        <f t="shared" si="60"/>
        <v/>
      </c>
      <c r="S122" t="str">
        <f t="shared" si="60"/>
        <v/>
      </c>
      <c r="T122" t="str">
        <f t="shared" si="60"/>
        <v/>
      </c>
      <c r="U122" t="str">
        <f t="shared" si="60"/>
        <v/>
      </c>
      <c r="V122" t="str">
        <f t="shared" si="60"/>
        <v/>
      </c>
      <c r="Z122" t="str">
        <f t="shared" si="54"/>
        <v>Nilton pg</v>
      </c>
      <c r="AA122" t="str">
        <f t="shared" ref="AA122:AF131" si="61">IFERROR(" ,"&amp;INDEX($B$2:$B$501,MATCH($I122&amp;AA$1,$F$2:$F$501,0)),"")</f>
        <v/>
      </c>
      <c r="AB122" t="str">
        <f t="shared" si="61"/>
        <v/>
      </c>
      <c r="AC122" t="str">
        <f t="shared" si="61"/>
        <v/>
      </c>
      <c r="AD122" t="str">
        <f t="shared" si="61"/>
        <v/>
      </c>
      <c r="AE122" t="str">
        <f t="shared" si="61"/>
        <v/>
      </c>
      <c r="AF122" t="str">
        <f t="shared" si="61"/>
        <v/>
      </c>
      <c r="AV122">
        <v>121</v>
      </c>
      <c r="AW122" t="s">
        <v>51</v>
      </c>
      <c r="BM122">
        <v>121</v>
      </c>
      <c r="BN122" t="s">
        <v>305</v>
      </c>
      <c r="BO122" t="str">
        <f t="shared" si="39"/>
        <v>DALTON pg</v>
      </c>
      <c r="BP122" t="b">
        <f t="shared" si="55"/>
        <v>1</v>
      </c>
    </row>
    <row r="123" spans="1:68">
      <c r="A123">
        <v>122</v>
      </c>
      <c r="B123" t="s">
        <v>95</v>
      </c>
      <c r="C123" s="1">
        <v>2035218381</v>
      </c>
      <c r="D123" t="s">
        <v>280</v>
      </c>
      <c r="E123">
        <f>COUNTIF($C$1:C123,C123)</f>
        <v>1</v>
      </c>
      <c r="F123" t="str">
        <f t="shared" si="32"/>
        <v>20352183811</v>
      </c>
      <c r="G123">
        <f t="shared" si="33"/>
        <v>1</v>
      </c>
      <c r="H123">
        <f t="shared" si="41"/>
        <v>0</v>
      </c>
      <c r="I123" s="4">
        <v>4753599546</v>
      </c>
      <c r="J123" s="5">
        <f t="shared" si="50"/>
        <v>1</v>
      </c>
      <c r="K123" s="5">
        <f t="shared" si="51"/>
        <v>0</v>
      </c>
      <c r="L123" s="5" t="str">
        <f t="shared" si="42"/>
        <v>238</v>
      </c>
      <c r="M123" s="5" t="str">
        <f t="shared" si="43"/>
        <v>Ramon bahia</v>
      </c>
      <c r="N123">
        <f t="shared" si="52"/>
        <v>1</v>
      </c>
      <c r="P123">
        <f t="shared" si="53"/>
        <v>238</v>
      </c>
      <c r="Q123" t="str">
        <f t="shared" si="60"/>
        <v/>
      </c>
      <c r="R123" t="str">
        <f t="shared" si="60"/>
        <v/>
      </c>
      <c r="S123" t="str">
        <f t="shared" si="60"/>
        <v/>
      </c>
      <c r="T123" t="str">
        <f t="shared" si="60"/>
        <v/>
      </c>
      <c r="U123" t="str">
        <f t="shared" si="60"/>
        <v/>
      </c>
      <c r="V123" t="str">
        <f t="shared" si="60"/>
        <v/>
      </c>
      <c r="Z123" t="str">
        <f t="shared" si="54"/>
        <v>Ramon bahia</v>
      </c>
      <c r="AA123" t="str">
        <f t="shared" si="61"/>
        <v/>
      </c>
      <c r="AB123" t="str">
        <f t="shared" si="61"/>
        <v/>
      </c>
      <c r="AC123" t="str">
        <f t="shared" si="61"/>
        <v/>
      </c>
      <c r="AD123" t="str">
        <f t="shared" si="61"/>
        <v/>
      </c>
      <c r="AE123" t="str">
        <f t="shared" si="61"/>
        <v/>
      </c>
      <c r="AF123" t="str">
        <f t="shared" si="61"/>
        <v/>
      </c>
      <c r="AV123">
        <v>122</v>
      </c>
      <c r="AW123" t="s">
        <v>95</v>
      </c>
      <c r="BM123">
        <v>122</v>
      </c>
      <c r="BN123" t="s">
        <v>95</v>
      </c>
      <c r="BO123" t="str">
        <f t="shared" si="39"/>
        <v>Gilmar Schmidt pg</v>
      </c>
      <c r="BP123" t="b">
        <f t="shared" si="55"/>
        <v>1</v>
      </c>
    </row>
    <row r="124" spans="1:68">
      <c r="A124">
        <v>123</v>
      </c>
      <c r="B124" t="s">
        <v>96</v>
      </c>
      <c r="C124" s="1">
        <v>9144979492</v>
      </c>
      <c r="D124" t="s">
        <v>280</v>
      </c>
      <c r="E124">
        <f>COUNTIF($C$1:C124,C124)</f>
        <v>1</v>
      </c>
      <c r="F124" t="str">
        <f t="shared" si="32"/>
        <v>91449794921</v>
      </c>
      <c r="G124">
        <f t="shared" si="33"/>
        <v>0</v>
      </c>
      <c r="H124">
        <f t="shared" si="41"/>
        <v>0</v>
      </c>
      <c r="I124" s="2">
        <v>2033213501</v>
      </c>
      <c r="J124" s="3">
        <f t="shared" si="50"/>
        <v>1</v>
      </c>
      <c r="K124" s="3">
        <f t="shared" si="51"/>
        <v>1</v>
      </c>
      <c r="L124" s="3" t="str">
        <f t="shared" si="42"/>
        <v>243</v>
      </c>
      <c r="M124" s="3" t="str">
        <f t="shared" si="43"/>
        <v>PAPITO pg</v>
      </c>
      <c r="N124">
        <f t="shared" si="52"/>
        <v>0</v>
      </c>
      <c r="P124">
        <f t="shared" si="53"/>
        <v>243</v>
      </c>
      <c r="Q124" t="str">
        <f t="shared" si="60"/>
        <v/>
      </c>
      <c r="R124" t="str">
        <f t="shared" si="60"/>
        <v/>
      </c>
      <c r="S124" t="str">
        <f t="shared" si="60"/>
        <v/>
      </c>
      <c r="T124" t="str">
        <f t="shared" si="60"/>
        <v/>
      </c>
      <c r="U124" t="str">
        <f t="shared" si="60"/>
        <v/>
      </c>
      <c r="V124" t="str">
        <f t="shared" si="60"/>
        <v/>
      </c>
      <c r="Z124" t="str">
        <f t="shared" si="54"/>
        <v>PAPITO pg</v>
      </c>
      <c r="AA124" t="str">
        <f t="shared" si="61"/>
        <v/>
      </c>
      <c r="AB124" t="str">
        <f t="shared" si="61"/>
        <v/>
      </c>
      <c r="AC124" t="str">
        <f t="shared" si="61"/>
        <v/>
      </c>
      <c r="AD124" t="str">
        <f t="shared" si="61"/>
        <v/>
      </c>
      <c r="AE124" t="str">
        <f t="shared" si="61"/>
        <v/>
      </c>
      <c r="AF124" t="str">
        <f t="shared" si="61"/>
        <v/>
      </c>
      <c r="AV124">
        <v>123</v>
      </c>
      <c r="AW124" t="s">
        <v>96</v>
      </c>
      <c r="BM124">
        <v>123</v>
      </c>
      <c r="BN124" t="s">
        <v>96</v>
      </c>
      <c r="BO124" t="str">
        <f t="shared" si="39"/>
        <v>FABIANE</v>
      </c>
      <c r="BP124" t="b">
        <f t="shared" si="55"/>
        <v>1</v>
      </c>
    </row>
    <row r="125" spans="1:68">
      <c r="A125">
        <v>124</v>
      </c>
      <c r="B125" t="s">
        <v>97</v>
      </c>
      <c r="C125" s="1">
        <v>9143190338</v>
      </c>
      <c r="D125" t="s">
        <v>288</v>
      </c>
      <c r="E125">
        <f>COUNTIF($C$1:C125,C125)</f>
        <v>1</v>
      </c>
      <c r="F125" t="str">
        <f t="shared" si="32"/>
        <v>91431903381</v>
      </c>
      <c r="G125">
        <f t="shared" si="33"/>
        <v>1</v>
      </c>
      <c r="H125">
        <f t="shared" si="41"/>
        <v>0</v>
      </c>
      <c r="I125" s="4">
        <v>5511976704883</v>
      </c>
      <c r="J125" s="5">
        <f t="shared" si="50"/>
        <v>2</v>
      </c>
      <c r="K125" s="5">
        <f t="shared" si="51"/>
        <v>0</v>
      </c>
      <c r="L125" s="5" t="str">
        <f t="shared" si="42"/>
        <v>245, 270</v>
      </c>
      <c r="M125" s="5" t="str">
        <f t="shared" si="43"/>
        <v>Ivan ,Ivan</v>
      </c>
      <c r="N125">
        <f t="shared" si="52"/>
        <v>2</v>
      </c>
      <c r="P125">
        <f t="shared" si="53"/>
        <v>245</v>
      </c>
      <c r="Q125" t="str">
        <f t="shared" si="60"/>
        <v>, 270</v>
      </c>
      <c r="R125" t="str">
        <f t="shared" si="60"/>
        <v/>
      </c>
      <c r="S125" t="str">
        <f t="shared" si="60"/>
        <v/>
      </c>
      <c r="T125" t="str">
        <f t="shared" si="60"/>
        <v/>
      </c>
      <c r="U125" t="str">
        <f t="shared" si="60"/>
        <v/>
      </c>
      <c r="V125" t="str">
        <f t="shared" si="60"/>
        <v/>
      </c>
      <c r="Z125" t="str">
        <f t="shared" si="54"/>
        <v>Ivan</v>
      </c>
      <c r="AA125" t="str">
        <f t="shared" si="61"/>
        <v xml:space="preserve"> ,Ivan</v>
      </c>
      <c r="AB125" t="str">
        <f t="shared" si="61"/>
        <v/>
      </c>
      <c r="AC125" t="str">
        <f t="shared" si="61"/>
        <v/>
      </c>
      <c r="AD125" t="str">
        <f t="shared" si="61"/>
        <v/>
      </c>
      <c r="AE125" t="str">
        <f t="shared" si="61"/>
        <v/>
      </c>
      <c r="AF125" t="str">
        <f t="shared" si="61"/>
        <v/>
      </c>
      <c r="AV125">
        <v>124</v>
      </c>
      <c r="AW125" t="s">
        <v>97</v>
      </c>
      <c r="BM125">
        <v>124</v>
      </c>
      <c r="BN125" t="s">
        <v>97</v>
      </c>
      <c r="BO125" t="str">
        <f t="shared" si="39"/>
        <v>JONH pg</v>
      </c>
      <c r="BP125" t="b">
        <f t="shared" si="55"/>
        <v>1</v>
      </c>
    </row>
    <row r="126" spans="1:68">
      <c r="A126">
        <v>125</v>
      </c>
      <c r="B126" t="s">
        <v>317</v>
      </c>
      <c r="C126" s="1">
        <v>9149060181</v>
      </c>
      <c r="D126" t="s">
        <v>280</v>
      </c>
      <c r="E126">
        <f>COUNTIF($C$1:C126,C126)</f>
        <v>1</v>
      </c>
      <c r="F126" t="str">
        <f t="shared" si="32"/>
        <v>91490601811</v>
      </c>
      <c r="G126">
        <f t="shared" si="33"/>
        <v>1</v>
      </c>
      <c r="H126">
        <f t="shared" si="41"/>
        <v>0</v>
      </c>
      <c r="I126" s="2">
        <v>2038361045</v>
      </c>
      <c r="J126" s="3">
        <f t="shared" si="50"/>
        <v>1</v>
      </c>
      <c r="K126" s="3">
        <f t="shared" si="51"/>
        <v>1</v>
      </c>
      <c r="L126" s="3" t="str">
        <f t="shared" si="42"/>
        <v>247</v>
      </c>
      <c r="M126" s="3" t="str">
        <f t="shared" si="43"/>
        <v>Ivo pg</v>
      </c>
      <c r="N126">
        <f t="shared" si="52"/>
        <v>0</v>
      </c>
      <c r="P126">
        <f t="shared" si="53"/>
        <v>247</v>
      </c>
      <c r="Q126" t="str">
        <f t="shared" si="60"/>
        <v/>
      </c>
      <c r="R126" t="str">
        <f t="shared" si="60"/>
        <v/>
      </c>
      <c r="S126" t="str">
        <f t="shared" si="60"/>
        <v/>
      </c>
      <c r="T126" t="str">
        <f t="shared" si="60"/>
        <v/>
      </c>
      <c r="U126" t="str">
        <f t="shared" si="60"/>
        <v/>
      </c>
      <c r="V126" t="str">
        <f t="shared" si="60"/>
        <v/>
      </c>
      <c r="Z126" t="str">
        <f t="shared" si="54"/>
        <v>Ivo pg</v>
      </c>
      <c r="AA126" t="str">
        <f t="shared" si="61"/>
        <v/>
      </c>
      <c r="AB126" t="str">
        <f t="shared" si="61"/>
        <v/>
      </c>
      <c r="AC126" t="str">
        <f t="shared" si="61"/>
        <v/>
      </c>
      <c r="AD126" t="str">
        <f t="shared" si="61"/>
        <v/>
      </c>
      <c r="AE126" t="str">
        <f t="shared" si="61"/>
        <v/>
      </c>
      <c r="AF126" t="str">
        <f t="shared" si="61"/>
        <v/>
      </c>
      <c r="AV126">
        <v>125</v>
      </c>
      <c r="AW126" t="s">
        <v>98</v>
      </c>
      <c r="BM126">
        <v>125</v>
      </c>
      <c r="BN126" t="s">
        <v>317</v>
      </c>
      <c r="BO126" t="str">
        <f t="shared" si="39"/>
        <v>MARCELO ZANETTI pg</v>
      </c>
      <c r="BP126" t="b">
        <f t="shared" si="55"/>
        <v>1</v>
      </c>
    </row>
    <row r="127" spans="1:68">
      <c r="A127">
        <v>126</v>
      </c>
      <c r="B127" t="s">
        <v>359</v>
      </c>
      <c r="C127" s="1">
        <v>2039237387</v>
      </c>
      <c r="D127" t="s">
        <v>280</v>
      </c>
      <c r="E127">
        <f>COUNTIF($C$1:C127,C127)</f>
        <v>2</v>
      </c>
      <c r="F127" t="str">
        <f t="shared" si="32"/>
        <v>20392373872</v>
      </c>
      <c r="G127">
        <f t="shared" si="33"/>
        <v>1</v>
      </c>
      <c r="H127">
        <f t="shared" si="41"/>
        <v>0</v>
      </c>
      <c r="I127" s="4">
        <v>4754590021</v>
      </c>
      <c r="J127" s="5">
        <f t="shared" si="50"/>
        <v>1</v>
      </c>
      <c r="K127" s="5">
        <f t="shared" si="51"/>
        <v>1</v>
      </c>
      <c r="L127" s="5" t="str">
        <f t="shared" si="42"/>
        <v>250</v>
      </c>
      <c r="M127" s="5" t="str">
        <f t="shared" si="43"/>
        <v>ROCHESTER pg</v>
      </c>
      <c r="N127">
        <f t="shared" si="52"/>
        <v>0</v>
      </c>
      <c r="P127">
        <f t="shared" si="53"/>
        <v>250</v>
      </c>
      <c r="Q127" t="str">
        <f t="shared" si="60"/>
        <v/>
      </c>
      <c r="R127" t="str">
        <f t="shared" si="60"/>
        <v/>
      </c>
      <c r="S127" t="str">
        <f t="shared" si="60"/>
        <v/>
      </c>
      <c r="T127" t="str">
        <f t="shared" si="60"/>
        <v/>
      </c>
      <c r="U127" t="str">
        <f t="shared" si="60"/>
        <v/>
      </c>
      <c r="V127" t="str">
        <f t="shared" si="60"/>
        <v/>
      </c>
      <c r="Z127" t="str">
        <f t="shared" si="54"/>
        <v>ROCHESTER pg</v>
      </c>
      <c r="AA127" t="str">
        <f t="shared" si="61"/>
        <v/>
      </c>
      <c r="AB127" t="str">
        <f t="shared" si="61"/>
        <v/>
      </c>
      <c r="AC127" t="str">
        <f t="shared" si="61"/>
        <v/>
      </c>
      <c r="AD127" t="str">
        <f t="shared" si="61"/>
        <v/>
      </c>
      <c r="AE127" t="str">
        <f t="shared" si="61"/>
        <v/>
      </c>
      <c r="AF127" t="str">
        <f t="shared" si="61"/>
        <v/>
      </c>
      <c r="AV127">
        <v>126</v>
      </c>
      <c r="AW127" t="s">
        <v>45</v>
      </c>
      <c r="BM127">
        <v>126</v>
      </c>
      <c r="BN127" t="s">
        <v>45</v>
      </c>
      <c r="BO127" t="str">
        <f t="shared" si="39"/>
        <v>LUCIANO Serjao pg</v>
      </c>
      <c r="BP127" t="b">
        <f t="shared" si="55"/>
        <v>0</v>
      </c>
    </row>
    <row r="128" spans="1:68">
      <c r="A128">
        <v>127</v>
      </c>
      <c r="B128" t="s">
        <v>99</v>
      </c>
      <c r="C128" s="1">
        <v>2039123543</v>
      </c>
      <c r="D128" t="s">
        <v>280</v>
      </c>
      <c r="E128">
        <f>COUNTIF($C$1:C128,C128)</f>
        <v>1</v>
      </c>
      <c r="F128" t="str">
        <f t="shared" si="32"/>
        <v>20391235431</v>
      </c>
      <c r="G128">
        <f t="shared" si="33"/>
        <v>0</v>
      </c>
      <c r="H128">
        <f t="shared" si="41"/>
        <v>0</v>
      </c>
      <c r="I128" s="2">
        <v>4754494453</v>
      </c>
      <c r="J128" s="3">
        <f t="shared" si="50"/>
        <v>1</v>
      </c>
      <c r="K128" s="3">
        <f t="shared" si="51"/>
        <v>0</v>
      </c>
      <c r="L128" s="3" t="str">
        <f t="shared" si="42"/>
        <v>251</v>
      </c>
      <c r="M128" s="3" t="str">
        <f t="shared" si="43"/>
        <v>ROSE</v>
      </c>
      <c r="N128">
        <f t="shared" si="52"/>
        <v>1</v>
      </c>
      <c r="P128">
        <f t="shared" si="53"/>
        <v>251</v>
      </c>
      <c r="Q128" t="str">
        <f t="shared" si="60"/>
        <v/>
      </c>
      <c r="R128" t="str">
        <f t="shared" si="60"/>
        <v/>
      </c>
      <c r="S128" t="str">
        <f t="shared" si="60"/>
        <v/>
      </c>
      <c r="T128" t="str">
        <f t="shared" si="60"/>
        <v/>
      </c>
      <c r="U128" t="str">
        <f t="shared" si="60"/>
        <v/>
      </c>
      <c r="V128" t="str">
        <f t="shared" si="60"/>
        <v/>
      </c>
      <c r="Z128" t="str">
        <f t="shared" si="54"/>
        <v>ROSE</v>
      </c>
      <c r="AA128" t="str">
        <f t="shared" si="61"/>
        <v/>
      </c>
      <c r="AB128" t="str">
        <f t="shared" si="61"/>
        <v/>
      </c>
      <c r="AC128" t="str">
        <f t="shared" si="61"/>
        <v/>
      </c>
      <c r="AD128" t="str">
        <f t="shared" si="61"/>
        <v/>
      </c>
      <c r="AE128" t="str">
        <f t="shared" si="61"/>
        <v/>
      </c>
      <c r="AF128" t="str">
        <f t="shared" si="61"/>
        <v/>
      </c>
      <c r="AV128">
        <v>127</v>
      </c>
      <c r="AW128" t="s">
        <v>99</v>
      </c>
      <c r="BM128">
        <v>127</v>
      </c>
      <c r="BN128" t="s">
        <v>99</v>
      </c>
      <c r="BO128" t="str">
        <f t="shared" si="39"/>
        <v>MARIO</v>
      </c>
      <c r="BP128" t="b">
        <f t="shared" si="55"/>
        <v>1</v>
      </c>
    </row>
    <row r="129" spans="1:68">
      <c r="A129">
        <v>128</v>
      </c>
      <c r="B129" t="s">
        <v>51</v>
      </c>
      <c r="C129" s="1">
        <v>9147602272</v>
      </c>
      <c r="D129" t="s">
        <v>280</v>
      </c>
      <c r="E129">
        <f>COUNTIF($C$1:C129,C129)</f>
        <v>4</v>
      </c>
      <c r="F129" t="str">
        <f t="shared" si="32"/>
        <v>91476022724</v>
      </c>
      <c r="G129">
        <f t="shared" si="33"/>
        <v>0</v>
      </c>
      <c r="H129">
        <f t="shared" si="41"/>
        <v>0</v>
      </c>
      <c r="I129" s="4">
        <v>2038078841</v>
      </c>
      <c r="J129" s="5">
        <f t="shared" si="50"/>
        <v>2</v>
      </c>
      <c r="K129" s="5">
        <f t="shared" si="51"/>
        <v>2</v>
      </c>
      <c r="L129" s="5" t="str">
        <f t="shared" si="42"/>
        <v>256, 386</v>
      </c>
      <c r="M129" s="5" t="str">
        <f t="shared" si="43"/>
        <v>RONI pg ,Ronni pg</v>
      </c>
      <c r="N129">
        <f t="shared" si="52"/>
        <v>0</v>
      </c>
      <c r="P129">
        <f t="shared" si="53"/>
        <v>256</v>
      </c>
      <c r="Q129" t="str">
        <f t="shared" si="60"/>
        <v>, 386</v>
      </c>
      <c r="R129" t="str">
        <f t="shared" si="60"/>
        <v/>
      </c>
      <c r="S129" t="str">
        <f t="shared" si="60"/>
        <v/>
      </c>
      <c r="T129" t="str">
        <f t="shared" si="60"/>
        <v/>
      </c>
      <c r="U129" t="str">
        <f t="shared" si="60"/>
        <v/>
      </c>
      <c r="V129" t="str">
        <f t="shared" si="60"/>
        <v/>
      </c>
      <c r="Z129" t="str">
        <f t="shared" si="54"/>
        <v>RONI pg</v>
      </c>
      <c r="AA129" t="str">
        <f t="shared" si="61"/>
        <v xml:space="preserve"> ,Ronni pg</v>
      </c>
      <c r="AB129" t="str">
        <f t="shared" si="61"/>
        <v/>
      </c>
      <c r="AC129" t="str">
        <f t="shared" si="61"/>
        <v/>
      </c>
      <c r="AD129" t="str">
        <f t="shared" si="61"/>
        <v/>
      </c>
      <c r="AE129" t="str">
        <f t="shared" si="61"/>
        <v/>
      </c>
      <c r="AF129" t="str">
        <f t="shared" si="61"/>
        <v/>
      </c>
      <c r="AV129">
        <v>128</v>
      </c>
      <c r="AW129" t="s">
        <v>51</v>
      </c>
      <c r="BM129">
        <v>128</v>
      </c>
      <c r="BN129" t="s">
        <v>51</v>
      </c>
      <c r="BO129" t="str">
        <f t="shared" si="39"/>
        <v>DALTON</v>
      </c>
      <c r="BP129" t="b">
        <f t="shared" si="55"/>
        <v>1</v>
      </c>
    </row>
    <row r="130" spans="1:68">
      <c r="A130">
        <v>129</v>
      </c>
      <c r="B130" t="s">
        <v>100</v>
      </c>
      <c r="C130" s="1">
        <v>9145650041</v>
      </c>
      <c r="D130" t="s">
        <v>280</v>
      </c>
      <c r="E130">
        <f>COUNTIF($C$1:C130,C130)</f>
        <v>2</v>
      </c>
      <c r="F130" t="str">
        <f t="shared" ref="F130:F193" si="62">C130&amp;E130</f>
        <v>91456500412</v>
      </c>
      <c r="G130">
        <f t="shared" ref="G130:G193" si="63">IF(IFERROR(FIND("pg",LOWER(B130)),0)=0,0,1)</f>
        <v>0</v>
      </c>
      <c r="H130">
        <f t="shared" si="41"/>
        <v>0</v>
      </c>
      <c r="I130" s="2">
        <v>9144386604</v>
      </c>
      <c r="J130" s="3">
        <f t="shared" ref="J130:J161" si="64">COUNTIF(C:C,I130)</f>
        <v>1</v>
      </c>
      <c r="K130" s="3">
        <f t="shared" ref="K130:K161" si="65">COUNTIFS(C:C,I130,G:G,1)+COUNTIFS(C:C,I130,H:H,1)</f>
        <v>1</v>
      </c>
      <c r="L130" s="3" t="str">
        <f t="shared" si="42"/>
        <v>263</v>
      </c>
      <c r="M130" s="3" t="str">
        <f t="shared" si="43"/>
        <v>Alan pg</v>
      </c>
      <c r="N130">
        <f t="shared" ref="N130:N161" si="66">J130-K130</f>
        <v>0</v>
      </c>
      <c r="P130">
        <f t="shared" ref="P130:P161" si="67">IFERROR(INDEX($A$2:$A$501,MATCH($I130&amp;P$1,$F$2:$F$501,0)),"")</f>
        <v>263</v>
      </c>
      <c r="Q130" t="str">
        <f t="shared" si="60"/>
        <v/>
      </c>
      <c r="R130" t="str">
        <f t="shared" si="60"/>
        <v/>
      </c>
      <c r="S130" t="str">
        <f t="shared" si="60"/>
        <v/>
      </c>
      <c r="T130" t="str">
        <f t="shared" si="60"/>
        <v/>
      </c>
      <c r="U130" t="str">
        <f t="shared" si="60"/>
        <v/>
      </c>
      <c r="V130" t="str">
        <f t="shared" si="60"/>
        <v/>
      </c>
      <c r="Z130" t="str">
        <f t="shared" ref="Z130:Z161" si="68">IFERROR(INDEX($B$2:$B$501,MATCH($I130&amp;Z$1,$F$2:$F$501,0)),"")</f>
        <v>Alan pg</v>
      </c>
      <c r="AA130" t="str">
        <f t="shared" si="61"/>
        <v/>
      </c>
      <c r="AB130" t="str">
        <f t="shared" si="61"/>
        <v/>
      </c>
      <c r="AC130" t="str">
        <f t="shared" si="61"/>
        <v/>
      </c>
      <c r="AD130" t="str">
        <f t="shared" si="61"/>
        <v/>
      </c>
      <c r="AE130" t="str">
        <f t="shared" si="61"/>
        <v/>
      </c>
      <c r="AF130" t="str">
        <f t="shared" si="61"/>
        <v/>
      </c>
      <c r="AV130">
        <v>129</v>
      </c>
      <c r="AW130" t="s">
        <v>100</v>
      </c>
      <c r="BM130">
        <v>129</v>
      </c>
      <c r="BN130" t="s">
        <v>100</v>
      </c>
      <c r="BO130" t="str">
        <f t="shared" ref="BO130:BO193" si="69">VLOOKUP(BM130,A:B,2,0)</f>
        <v>HERNANE</v>
      </c>
      <c r="BP130" t="b">
        <f t="shared" ref="BP130:BP161" si="70">BO130=BN130</f>
        <v>1</v>
      </c>
    </row>
    <row r="131" spans="1:68">
      <c r="A131">
        <v>130</v>
      </c>
      <c r="B131" t="s">
        <v>101</v>
      </c>
      <c r="C131" s="1">
        <v>4752368737</v>
      </c>
      <c r="D131" t="s">
        <v>280</v>
      </c>
      <c r="E131">
        <f>COUNTIF($C$1:C131,C131)</f>
        <v>1</v>
      </c>
      <c r="F131" t="str">
        <f t="shared" si="62"/>
        <v>47523687371</v>
      </c>
      <c r="G131">
        <f t="shared" si="63"/>
        <v>0</v>
      </c>
      <c r="H131">
        <f t="shared" ref="H131:H167" si="71">IF(IFERROR(FIND("(f)",LOWER(B131)),0)=0,0,1)</f>
        <v>0</v>
      </c>
      <c r="I131" s="4">
        <v>9146203904</v>
      </c>
      <c r="J131" s="5">
        <f t="shared" si="64"/>
        <v>2</v>
      </c>
      <c r="K131" s="5">
        <f t="shared" si="65"/>
        <v>0</v>
      </c>
      <c r="L131" s="5" t="str">
        <f t="shared" ref="L131:L167" si="72">CONCATENATE(P131,Q131,R131,S131,T131,U131,V131,)</f>
        <v>266, 338</v>
      </c>
      <c r="M131" s="5" t="str">
        <f t="shared" ref="M131:M167" si="73">CONCATENATE(Z131,AA131,AB131,AC131,AD131,AE131,AF131)</f>
        <v>José tile ,José tile</v>
      </c>
      <c r="N131">
        <f t="shared" si="66"/>
        <v>2</v>
      </c>
      <c r="P131">
        <f t="shared" si="67"/>
        <v>266</v>
      </c>
      <c r="Q131" t="str">
        <f t="shared" si="60"/>
        <v>, 338</v>
      </c>
      <c r="R131" t="str">
        <f t="shared" si="60"/>
        <v/>
      </c>
      <c r="S131" t="str">
        <f t="shared" si="60"/>
        <v/>
      </c>
      <c r="T131" t="str">
        <f t="shared" si="60"/>
        <v/>
      </c>
      <c r="U131" t="str">
        <f t="shared" si="60"/>
        <v/>
      </c>
      <c r="V131" t="str">
        <f t="shared" si="60"/>
        <v/>
      </c>
      <c r="Z131" t="str">
        <f t="shared" si="68"/>
        <v>José tile</v>
      </c>
      <c r="AA131" t="str">
        <f t="shared" si="61"/>
        <v xml:space="preserve"> ,José tile</v>
      </c>
      <c r="AB131" t="str">
        <f t="shared" si="61"/>
        <v/>
      </c>
      <c r="AC131" t="str">
        <f t="shared" si="61"/>
        <v/>
      </c>
      <c r="AD131" t="str">
        <f t="shared" si="61"/>
        <v/>
      </c>
      <c r="AE131" t="str">
        <f t="shared" si="61"/>
        <v/>
      </c>
      <c r="AF131" t="str">
        <f t="shared" si="61"/>
        <v/>
      </c>
      <c r="AV131">
        <v>130</v>
      </c>
      <c r="AW131" t="s">
        <v>101</v>
      </c>
      <c r="BM131">
        <v>130</v>
      </c>
      <c r="BN131" t="s">
        <v>101</v>
      </c>
      <c r="BO131" t="str">
        <f t="shared" si="69"/>
        <v>Felipe Pimentel</v>
      </c>
      <c r="BP131" t="b">
        <f t="shared" si="70"/>
        <v>1</v>
      </c>
    </row>
    <row r="132" spans="1:68">
      <c r="A132">
        <v>131</v>
      </c>
      <c r="B132" t="s">
        <v>89</v>
      </c>
      <c r="C132" s="1">
        <v>2035456330</v>
      </c>
      <c r="D132" t="s">
        <v>280</v>
      </c>
      <c r="E132">
        <f>COUNTIF($C$1:C132,C132)</f>
        <v>3</v>
      </c>
      <c r="F132" t="str">
        <f t="shared" si="62"/>
        <v>20354563303</v>
      </c>
      <c r="G132">
        <f t="shared" si="63"/>
        <v>0</v>
      </c>
      <c r="H132">
        <f t="shared" si="71"/>
        <v>0</v>
      </c>
      <c r="I132" s="2">
        <v>2038982085</v>
      </c>
      <c r="J132" s="3">
        <f t="shared" si="64"/>
        <v>1</v>
      </c>
      <c r="K132" s="3">
        <f t="shared" si="65"/>
        <v>0</v>
      </c>
      <c r="L132" s="3" t="str">
        <f t="shared" si="72"/>
        <v>267</v>
      </c>
      <c r="M132" s="3" t="str">
        <f t="shared" si="73"/>
        <v>Fabricio</v>
      </c>
      <c r="N132">
        <f t="shared" si="66"/>
        <v>1</v>
      </c>
      <c r="P132">
        <f t="shared" si="67"/>
        <v>267</v>
      </c>
      <c r="Q132" t="str">
        <f t="shared" ref="Q132:V141" si="74">IFERROR(", "&amp;INDEX($A$2:$A$501,MATCH($I132&amp;Q$1,$F$2:$F$501,0)),"")</f>
        <v/>
      </c>
      <c r="R132" t="str">
        <f t="shared" si="74"/>
        <v/>
      </c>
      <c r="S132" t="str">
        <f t="shared" si="74"/>
        <v/>
      </c>
      <c r="T132" t="str">
        <f t="shared" si="74"/>
        <v/>
      </c>
      <c r="U132" t="str">
        <f t="shared" si="74"/>
        <v/>
      </c>
      <c r="V132" t="str">
        <f t="shared" si="74"/>
        <v/>
      </c>
      <c r="Z132" t="str">
        <f t="shared" si="68"/>
        <v>Fabricio</v>
      </c>
      <c r="AA132" t="str">
        <f t="shared" ref="AA132:AF141" si="75">IFERROR(" ,"&amp;INDEX($B$2:$B$501,MATCH($I132&amp;AA$1,$F$2:$F$501,0)),"")</f>
        <v/>
      </c>
      <c r="AB132" t="str">
        <f t="shared" si="75"/>
        <v/>
      </c>
      <c r="AC132" t="str">
        <f t="shared" si="75"/>
        <v/>
      </c>
      <c r="AD132" t="str">
        <f t="shared" si="75"/>
        <v/>
      </c>
      <c r="AE132" t="str">
        <f t="shared" si="75"/>
        <v/>
      </c>
      <c r="AF132" t="str">
        <f t="shared" si="75"/>
        <v/>
      </c>
      <c r="AV132">
        <v>131</v>
      </c>
      <c r="AW132" t="s">
        <v>89</v>
      </c>
      <c r="BM132">
        <v>131</v>
      </c>
      <c r="BN132" t="s">
        <v>89</v>
      </c>
      <c r="BO132" t="str">
        <f t="shared" si="69"/>
        <v>RONIVON</v>
      </c>
      <c r="BP132" t="b">
        <f t="shared" si="70"/>
        <v>1</v>
      </c>
    </row>
    <row r="133" spans="1:68">
      <c r="A133">
        <v>132</v>
      </c>
      <c r="B133" t="s">
        <v>102</v>
      </c>
      <c r="C133" s="1">
        <v>2032472211</v>
      </c>
      <c r="D133" t="s">
        <v>280</v>
      </c>
      <c r="E133">
        <f>COUNTIF($C$1:C133,C133)</f>
        <v>1</v>
      </c>
      <c r="F133" t="str">
        <f t="shared" si="62"/>
        <v>20324722111</v>
      </c>
      <c r="G133">
        <f t="shared" si="63"/>
        <v>0</v>
      </c>
      <c r="H133">
        <f t="shared" si="71"/>
        <v>0</v>
      </c>
      <c r="I133" s="4">
        <v>8455279933</v>
      </c>
      <c r="J133" s="5">
        <f t="shared" si="64"/>
        <v>5</v>
      </c>
      <c r="K133" s="5">
        <f t="shared" si="65"/>
        <v>3</v>
      </c>
      <c r="L133" s="5" t="str">
        <f t="shared" si="72"/>
        <v>271, 274, 276, 309, 334</v>
      </c>
      <c r="M133" s="5" t="str">
        <f t="shared" si="73"/>
        <v>Marília / Fábio (f) ,Ana Laura Gregório (Marília) ,Marília /fabio pg ,Marília/ Fábio pg ,Cida dona ( Marília )</v>
      </c>
      <c r="N133">
        <f t="shared" si="66"/>
        <v>2</v>
      </c>
      <c r="P133">
        <f t="shared" si="67"/>
        <v>271</v>
      </c>
      <c r="Q133" t="str">
        <f t="shared" si="74"/>
        <v>, 274</v>
      </c>
      <c r="R133" t="str">
        <f t="shared" si="74"/>
        <v>, 276</v>
      </c>
      <c r="S133" t="str">
        <f t="shared" si="74"/>
        <v>, 309</v>
      </c>
      <c r="T133" t="str">
        <f t="shared" si="74"/>
        <v>, 334</v>
      </c>
      <c r="U133" t="str">
        <f t="shared" si="74"/>
        <v/>
      </c>
      <c r="V133" t="str">
        <f t="shared" si="74"/>
        <v/>
      </c>
      <c r="Z133" t="str">
        <f t="shared" si="68"/>
        <v>Marília / Fábio (f)</v>
      </c>
      <c r="AA133" t="str">
        <f t="shared" si="75"/>
        <v xml:space="preserve"> ,Ana Laura Gregório (Marília)</v>
      </c>
      <c r="AB133" t="str">
        <f t="shared" si="75"/>
        <v xml:space="preserve"> ,Marília /fabio pg</v>
      </c>
      <c r="AC133" t="str">
        <f t="shared" si="75"/>
        <v xml:space="preserve"> ,Marília/ Fábio pg</v>
      </c>
      <c r="AD133" t="str">
        <f t="shared" si="75"/>
        <v xml:space="preserve"> ,Cida dona ( Marília )</v>
      </c>
      <c r="AE133" t="str">
        <f t="shared" si="75"/>
        <v/>
      </c>
      <c r="AF133" t="str">
        <f t="shared" si="75"/>
        <v/>
      </c>
      <c r="AV133">
        <v>132</v>
      </c>
      <c r="AW133" t="s">
        <v>102</v>
      </c>
      <c r="BM133">
        <v>132</v>
      </c>
      <c r="BN133" t="s">
        <v>102</v>
      </c>
      <c r="BO133" t="str">
        <f t="shared" si="69"/>
        <v>BRYAN ARAUJO</v>
      </c>
      <c r="BP133" t="b">
        <f t="shared" si="70"/>
        <v>1</v>
      </c>
    </row>
    <row r="134" spans="1:68">
      <c r="A134">
        <v>133</v>
      </c>
      <c r="B134" t="s">
        <v>103</v>
      </c>
      <c r="C134" s="1">
        <v>9146093241</v>
      </c>
      <c r="D134" t="s">
        <v>280</v>
      </c>
      <c r="E134">
        <f>COUNTIF($C$1:C134,C134)</f>
        <v>1</v>
      </c>
      <c r="F134" t="str">
        <f t="shared" si="62"/>
        <v>91460932411</v>
      </c>
      <c r="G134">
        <f t="shared" si="63"/>
        <v>1</v>
      </c>
      <c r="H134">
        <f t="shared" si="71"/>
        <v>0</v>
      </c>
      <c r="I134" s="2">
        <v>9735172499</v>
      </c>
      <c r="J134" s="3">
        <f t="shared" si="64"/>
        <v>1</v>
      </c>
      <c r="K134" s="3">
        <f t="shared" si="65"/>
        <v>1</v>
      </c>
      <c r="L134" s="3" t="str">
        <f t="shared" si="72"/>
        <v>273</v>
      </c>
      <c r="M134" s="3" t="str">
        <f t="shared" si="73"/>
        <v>BOCAO pg</v>
      </c>
      <c r="N134">
        <f t="shared" si="66"/>
        <v>0</v>
      </c>
      <c r="P134">
        <f t="shared" si="67"/>
        <v>273</v>
      </c>
      <c r="Q134" t="str">
        <f t="shared" si="74"/>
        <v/>
      </c>
      <c r="R134" t="str">
        <f t="shared" si="74"/>
        <v/>
      </c>
      <c r="S134" t="str">
        <f t="shared" si="74"/>
        <v/>
      </c>
      <c r="T134" t="str">
        <f t="shared" si="74"/>
        <v/>
      </c>
      <c r="U134" t="str">
        <f t="shared" si="74"/>
        <v/>
      </c>
      <c r="V134" t="str">
        <f t="shared" si="74"/>
        <v/>
      </c>
      <c r="Z134" t="str">
        <f t="shared" si="68"/>
        <v>BOCAO pg</v>
      </c>
      <c r="AA134" t="str">
        <f t="shared" si="75"/>
        <v/>
      </c>
      <c r="AB134" t="str">
        <f t="shared" si="75"/>
        <v/>
      </c>
      <c r="AC134" t="str">
        <f t="shared" si="75"/>
        <v/>
      </c>
      <c r="AD134" t="str">
        <f t="shared" si="75"/>
        <v/>
      </c>
      <c r="AE134" t="str">
        <f t="shared" si="75"/>
        <v/>
      </c>
      <c r="AF134" t="str">
        <f t="shared" si="75"/>
        <v/>
      </c>
      <c r="AV134">
        <v>133</v>
      </c>
      <c r="AW134" t="s">
        <v>103</v>
      </c>
      <c r="BM134">
        <v>133</v>
      </c>
      <c r="BN134" t="s">
        <v>103</v>
      </c>
      <c r="BO134" t="str">
        <f t="shared" si="69"/>
        <v>RODRIGO Gonçalves pg</v>
      </c>
      <c r="BP134" t="b">
        <f t="shared" si="70"/>
        <v>1</v>
      </c>
    </row>
    <row r="135" spans="1:68">
      <c r="A135">
        <v>134</v>
      </c>
      <c r="E135">
        <f>COUNTIF($C$1:C135,C135)</f>
        <v>0</v>
      </c>
      <c r="F135" t="str">
        <f t="shared" si="62"/>
        <v>0</v>
      </c>
      <c r="G135">
        <f t="shared" si="63"/>
        <v>0</v>
      </c>
      <c r="H135">
        <f t="shared" si="71"/>
        <v>0</v>
      </c>
      <c r="I135" s="4">
        <v>9148446172</v>
      </c>
      <c r="J135" s="5">
        <f t="shared" si="64"/>
        <v>3</v>
      </c>
      <c r="K135" s="5">
        <f t="shared" si="65"/>
        <v>0</v>
      </c>
      <c r="L135" s="5" t="str">
        <f t="shared" si="72"/>
        <v>280, 281, 459</v>
      </c>
      <c r="M135" s="5" t="str">
        <f t="shared" si="73"/>
        <v>Sônia da Deli (Salvador ) ,Luís guevara ,SALVADOR</v>
      </c>
      <c r="N135">
        <f t="shared" si="66"/>
        <v>3</v>
      </c>
      <c r="P135">
        <f t="shared" si="67"/>
        <v>280</v>
      </c>
      <c r="Q135" t="str">
        <f t="shared" si="74"/>
        <v>, 281</v>
      </c>
      <c r="R135" t="str">
        <f t="shared" si="74"/>
        <v>, 459</v>
      </c>
      <c r="S135" t="str">
        <f t="shared" si="74"/>
        <v/>
      </c>
      <c r="T135" t="str">
        <f t="shared" si="74"/>
        <v/>
      </c>
      <c r="U135" t="str">
        <f t="shared" si="74"/>
        <v/>
      </c>
      <c r="V135" t="str">
        <f t="shared" si="74"/>
        <v/>
      </c>
      <c r="Z135" t="str">
        <f t="shared" si="68"/>
        <v>Sônia da Deli (Salvador )</v>
      </c>
      <c r="AA135" t="str">
        <f t="shared" si="75"/>
        <v xml:space="preserve"> ,Luís guevara</v>
      </c>
      <c r="AB135" t="str">
        <f t="shared" si="75"/>
        <v xml:space="preserve"> ,SALVADOR</v>
      </c>
      <c r="AC135" t="str">
        <f t="shared" si="75"/>
        <v/>
      </c>
      <c r="AD135" t="str">
        <f t="shared" si="75"/>
        <v/>
      </c>
      <c r="AE135" t="str">
        <f t="shared" si="75"/>
        <v/>
      </c>
      <c r="AF135" t="str">
        <f t="shared" si="75"/>
        <v/>
      </c>
      <c r="AV135">
        <v>134</v>
      </c>
      <c r="BM135">
        <v>134</v>
      </c>
      <c r="BO135">
        <f t="shared" si="69"/>
        <v>0</v>
      </c>
      <c r="BP135" t="b">
        <f t="shared" si="70"/>
        <v>1</v>
      </c>
    </row>
    <row r="136" spans="1:68">
      <c r="A136">
        <v>135</v>
      </c>
      <c r="B136" t="s">
        <v>104</v>
      </c>
      <c r="C136" s="1">
        <v>2038647378</v>
      </c>
      <c r="D136" t="s">
        <v>280</v>
      </c>
      <c r="E136">
        <f>COUNTIF($C$1:C136,C136)</f>
        <v>1</v>
      </c>
      <c r="F136" t="str">
        <f t="shared" si="62"/>
        <v>20386473781</v>
      </c>
      <c r="G136">
        <f t="shared" si="63"/>
        <v>0</v>
      </c>
      <c r="H136">
        <f t="shared" si="71"/>
        <v>0</v>
      </c>
      <c r="I136" s="2">
        <v>2038640330</v>
      </c>
      <c r="J136" s="3">
        <f t="shared" si="64"/>
        <v>1</v>
      </c>
      <c r="K136" s="3">
        <f t="shared" si="65"/>
        <v>0</v>
      </c>
      <c r="L136" s="3" t="str">
        <f t="shared" si="72"/>
        <v>287</v>
      </c>
      <c r="M136" s="3" t="str">
        <f t="shared" si="73"/>
        <v>C 2038640330</v>
      </c>
      <c r="N136">
        <f t="shared" si="66"/>
        <v>1</v>
      </c>
      <c r="P136">
        <f t="shared" si="67"/>
        <v>287</v>
      </c>
      <c r="Q136" t="str">
        <f t="shared" si="74"/>
        <v/>
      </c>
      <c r="R136" t="str">
        <f t="shared" si="74"/>
        <v/>
      </c>
      <c r="S136" t="str">
        <f t="shared" si="74"/>
        <v/>
      </c>
      <c r="T136" t="str">
        <f t="shared" si="74"/>
        <v/>
      </c>
      <c r="U136" t="str">
        <f t="shared" si="74"/>
        <v/>
      </c>
      <c r="V136" t="str">
        <f t="shared" si="74"/>
        <v/>
      </c>
      <c r="Z136" t="str">
        <f t="shared" si="68"/>
        <v>C 2038640330</v>
      </c>
      <c r="AA136" t="str">
        <f t="shared" si="75"/>
        <v/>
      </c>
      <c r="AB136" t="str">
        <f t="shared" si="75"/>
        <v/>
      </c>
      <c r="AC136" t="str">
        <f t="shared" si="75"/>
        <v/>
      </c>
      <c r="AD136" t="str">
        <f t="shared" si="75"/>
        <v/>
      </c>
      <c r="AE136" t="str">
        <f t="shared" si="75"/>
        <v/>
      </c>
      <c r="AF136" t="str">
        <f t="shared" si="75"/>
        <v/>
      </c>
      <c r="AV136">
        <v>135</v>
      </c>
      <c r="AW136" t="s">
        <v>104</v>
      </c>
      <c r="BM136">
        <v>135</v>
      </c>
      <c r="BN136" t="s">
        <v>104</v>
      </c>
      <c r="BO136" t="str">
        <f t="shared" si="69"/>
        <v>MARCOS SILVA</v>
      </c>
      <c r="BP136" t="b">
        <f t="shared" si="70"/>
        <v>1</v>
      </c>
    </row>
    <row r="137" spans="1:68">
      <c r="A137">
        <v>136</v>
      </c>
      <c r="B137" t="s">
        <v>105</v>
      </c>
      <c r="C137" s="1">
        <v>9145654952</v>
      </c>
      <c r="D137" t="s">
        <v>280</v>
      </c>
      <c r="E137">
        <f>COUNTIF($C$1:C137,C137)</f>
        <v>1</v>
      </c>
      <c r="F137" t="str">
        <f t="shared" si="62"/>
        <v>91456549521</v>
      </c>
      <c r="G137">
        <f t="shared" si="63"/>
        <v>0</v>
      </c>
      <c r="H137">
        <f t="shared" si="71"/>
        <v>0</v>
      </c>
      <c r="I137" s="4">
        <v>4752065818</v>
      </c>
      <c r="J137" s="5">
        <f t="shared" si="64"/>
        <v>3</v>
      </c>
      <c r="K137" s="5">
        <f t="shared" si="65"/>
        <v>1</v>
      </c>
      <c r="L137" s="5" t="str">
        <f t="shared" si="72"/>
        <v>293, 388, 405</v>
      </c>
      <c r="M137" s="5" t="str">
        <f t="shared" si="73"/>
        <v>Dudu cat (f) ,Dudu cat ,Dudu cat</v>
      </c>
      <c r="N137">
        <f t="shared" si="66"/>
        <v>2</v>
      </c>
      <c r="P137">
        <f t="shared" si="67"/>
        <v>293</v>
      </c>
      <c r="Q137" t="str">
        <f t="shared" si="74"/>
        <v>, 388</v>
      </c>
      <c r="R137" t="str">
        <f t="shared" si="74"/>
        <v>, 405</v>
      </c>
      <c r="S137" t="str">
        <f t="shared" si="74"/>
        <v/>
      </c>
      <c r="T137" t="str">
        <f t="shared" si="74"/>
        <v/>
      </c>
      <c r="U137" t="str">
        <f t="shared" si="74"/>
        <v/>
      </c>
      <c r="V137" t="str">
        <f t="shared" si="74"/>
        <v/>
      </c>
      <c r="Z137" t="str">
        <f t="shared" si="68"/>
        <v>Dudu cat (f)</v>
      </c>
      <c r="AA137" t="str">
        <f t="shared" si="75"/>
        <v xml:space="preserve"> ,Dudu cat</v>
      </c>
      <c r="AB137" t="str">
        <f t="shared" si="75"/>
        <v xml:space="preserve"> ,Dudu cat</v>
      </c>
      <c r="AC137" t="str">
        <f t="shared" si="75"/>
        <v/>
      </c>
      <c r="AD137" t="str">
        <f t="shared" si="75"/>
        <v/>
      </c>
      <c r="AE137" t="str">
        <f t="shared" si="75"/>
        <v/>
      </c>
      <c r="AF137" t="str">
        <f t="shared" si="75"/>
        <v/>
      </c>
      <c r="AV137">
        <v>136</v>
      </c>
      <c r="AW137" t="s">
        <v>105</v>
      </c>
      <c r="BM137">
        <v>136</v>
      </c>
      <c r="BN137" t="s">
        <v>105</v>
      </c>
      <c r="BO137" t="str">
        <f t="shared" si="69"/>
        <v>MARCELO MORENO</v>
      </c>
      <c r="BP137" t="b">
        <f t="shared" si="70"/>
        <v>1</v>
      </c>
    </row>
    <row r="138" spans="1:68">
      <c r="A138">
        <v>137</v>
      </c>
      <c r="B138" t="s">
        <v>38</v>
      </c>
      <c r="C138" s="1">
        <v>2033607352</v>
      </c>
      <c r="D138" t="s">
        <v>280</v>
      </c>
      <c r="E138">
        <f>COUNTIF($C$1:C138,C138)</f>
        <v>3</v>
      </c>
      <c r="F138" t="str">
        <f t="shared" si="62"/>
        <v>20336073523</v>
      </c>
      <c r="G138">
        <f t="shared" si="63"/>
        <v>0</v>
      </c>
      <c r="H138">
        <f t="shared" si="71"/>
        <v>0</v>
      </c>
      <c r="I138" s="2">
        <v>9144735582</v>
      </c>
      <c r="J138" s="3">
        <f t="shared" si="64"/>
        <v>1</v>
      </c>
      <c r="K138" s="3">
        <f t="shared" si="65"/>
        <v>0</v>
      </c>
      <c r="L138" s="3" t="str">
        <f t="shared" si="72"/>
        <v>300</v>
      </c>
      <c r="M138" s="3" t="str">
        <f t="shared" si="73"/>
        <v>Bico</v>
      </c>
      <c r="N138">
        <f t="shared" si="66"/>
        <v>1</v>
      </c>
      <c r="P138">
        <f t="shared" si="67"/>
        <v>300</v>
      </c>
      <c r="Q138" t="str">
        <f t="shared" si="74"/>
        <v/>
      </c>
      <c r="R138" t="str">
        <f t="shared" si="74"/>
        <v/>
      </c>
      <c r="S138" t="str">
        <f t="shared" si="74"/>
        <v/>
      </c>
      <c r="T138" t="str">
        <f t="shared" si="74"/>
        <v/>
      </c>
      <c r="U138" t="str">
        <f t="shared" si="74"/>
        <v/>
      </c>
      <c r="V138" t="str">
        <f t="shared" si="74"/>
        <v/>
      </c>
      <c r="Z138" t="str">
        <f t="shared" si="68"/>
        <v>Bico</v>
      </c>
      <c r="AA138" t="str">
        <f t="shared" si="75"/>
        <v/>
      </c>
      <c r="AB138" t="str">
        <f t="shared" si="75"/>
        <v/>
      </c>
      <c r="AC138" t="str">
        <f t="shared" si="75"/>
        <v/>
      </c>
      <c r="AD138" t="str">
        <f t="shared" si="75"/>
        <v/>
      </c>
      <c r="AE138" t="str">
        <f t="shared" si="75"/>
        <v/>
      </c>
      <c r="AF138" t="str">
        <f t="shared" si="75"/>
        <v/>
      </c>
      <c r="AV138">
        <v>137</v>
      </c>
      <c r="AW138" t="s">
        <v>38</v>
      </c>
      <c r="BM138">
        <v>137</v>
      </c>
      <c r="BN138" t="s">
        <v>38</v>
      </c>
      <c r="BO138" t="str">
        <f t="shared" si="69"/>
        <v>CRISTIANO</v>
      </c>
      <c r="BP138" t="b">
        <f t="shared" si="70"/>
        <v>1</v>
      </c>
    </row>
    <row r="139" spans="1:68">
      <c r="A139">
        <v>138</v>
      </c>
      <c r="B139" t="s">
        <v>106</v>
      </c>
      <c r="C139" s="1">
        <v>2038985149</v>
      </c>
      <c r="D139" t="s">
        <v>280</v>
      </c>
      <c r="E139">
        <f>COUNTIF($C$1:C139,C139)</f>
        <v>1</v>
      </c>
      <c r="F139" t="str">
        <f t="shared" si="62"/>
        <v>20389851491</v>
      </c>
      <c r="G139">
        <f t="shared" si="63"/>
        <v>0</v>
      </c>
      <c r="H139">
        <f t="shared" si="71"/>
        <v>0</v>
      </c>
      <c r="I139" s="4">
        <v>2037264666</v>
      </c>
      <c r="J139" s="5">
        <f t="shared" si="64"/>
        <v>1</v>
      </c>
      <c r="K139" s="5">
        <f t="shared" si="65"/>
        <v>0</v>
      </c>
      <c r="L139" s="5" t="str">
        <f t="shared" si="72"/>
        <v>311</v>
      </c>
      <c r="M139" s="5" t="str">
        <f t="shared" si="73"/>
        <v>Glauber</v>
      </c>
      <c r="N139">
        <f t="shared" si="66"/>
        <v>1</v>
      </c>
      <c r="P139">
        <f t="shared" si="67"/>
        <v>311</v>
      </c>
      <c r="Q139" t="str">
        <f t="shared" si="74"/>
        <v/>
      </c>
      <c r="R139" t="str">
        <f t="shared" si="74"/>
        <v/>
      </c>
      <c r="S139" t="str">
        <f t="shared" si="74"/>
        <v/>
      </c>
      <c r="T139" t="str">
        <f t="shared" si="74"/>
        <v/>
      </c>
      <c r="U139" t="str">
        <f t="shared" si="74"/>
        <v/>
      </c>
      <c r="V139" t="str">
        <f t="shared" si="74"/>
        <v/>
      </c>
      <c r="Z139" t="str">
        <f t="shared" si="68"/>
        <v>Glauber</v>
      </c>
      <c r="AA139" t="str">
        <f t="shared" si="75"/>
        <v/>
      </c>
      <c r="AB139" t="str">
        <f t="shared" si="75"/>
        <v/>
      </c>
      <c r="AC139" t="str">
        <f t="shared" si="75"/>
        <v/>
      </c>
      <c r="AD139" t="str">
        <f t="shared" si="75"/>
        <v/>
      </c>
      <c r="AE139" t="str">
        <f t="shared" si="75"/>
        <v/>
      </c>
      <c r="AF139" t="str">
        <f t="shared" si="75"/>
        <v/>
      </c>
      <c r="AV139">
        <v>138</v>
      </c>
      <c r="AW139" t="s">
        <v>106</v>
      </c>
      <c r="BM139">
        <v>138</v>
      </c>
      <c r="BN139" t="s">
        <v>106</v>
      </c>
      <c r="BO139" t="str">
        <f t="shared" si="69"/>
        <v>Fábio Albino</v>
      </c>
      <c r="BP139" t="b">
        <f t="shared" si="70"/>
        <v>1</v>
      </c>
    </row>
    <row r="140" spans="1:68">
      <c r="A140">
        <v>139</v>
      </c>
      <c r="B140" t="s">
        <v>106</v>
      </c>
      <c r="C140" s="1">
        <v>2038985149</v>
      </c>
      <c r="D140" t="s">
        <v>280</v>
      </c>
      <c r="E140">
        <f>COUNTIF($C$1:C140,C140)</f>
        <v>2</v>
      </c>
      <c r="F140" t="str">
        <f t="shared" si="62"/>
        <v>20389851492</v>
      </c>
      <c r="G140">
        <f t="shared" si="63"/>
        <v>0</v>
      </c>
      <c r="H140">
        <f t="shared" si="71"/>
        <v>0</v>
      </c>
      <c r="I140" s="2">
        <v>2035221446</v>
      </c>
      <c r="J140" s="3">
        <f t="shared" si="64"/>
        <v>2</v>
      </c>
      <c r="K140" s="3">
        <f t="shared" si="65"/>
        <v>0</v>
      </c>
      <c r="L140" s="3" t="str">
        <f t="shared" si="72"/>
        <v>316, 485</v>
      </c>
      <c r="M140" s="3" t="str">
        <f t="shared" si="73"/>
        <v>NATALIA PIVA ,FABIO PIVA</v>
      </c>
      <c r="N140">
        <f t="shared" si="66"/>
        <v>2</v>
      </c>
      <c r="P140">
        <f t="shared" si="67"/>
        <v>316</v>
      </c>
      <c r="Q140" t="str">
        <f t="shared" si="74"/>
        <v>, 485</v>
      </c>
      <c r="R140" t="str">
        <f t="shared" si="74"/>
        <v/>
      </c>
      <c r="S140" t="str">
        <f t="shared" si="74"/>
        <v/>
      </c>
      <c r="T140" t="str">
        <f t="shared" si="74"/>
        <v/>
      </c>
      <c r="U140" t="str">
        <f t="shared" si="74"/>
        <v/>
      </c>
      <c r="V140" t="str">
        <f t="shared" si="74"/>
        <v/>
      </c>
      <c r="Z140" t="str">
        <f t="shared" si="68"/>
        <v>NATALIA PIVA</v>
      </c>
      <c r="AA140" t="str">
        <f t="shared" si="75"/>
        <v xml:space="preserve"> ,FABIO PIVA</v>
      </c>
      <c r="AB140" t="str">
        <f t="shared" si="75"/>
        <v/>
      </c>
      <c r="AC140" t="str">
        <f t="shared" si="75"/>
        <v/>
      </c>
      <c r="AD140" t="str">
        <f t="shared" si="75"/>
        <v/>
      </c>
      <c r="AE140" t="str">
        <f t="shared" si="75"/>
        <v/>
      </c>
      <c r="AF140" t="str">
        <f t="shared" si="75"/>
        <v/>
      </c>
      <c r="AV140">
        <v>139</v>
      </c>
      <c r="AW140" t="s">
        <v>106</v>
      </c>
      <c r="BM140">
        <v>139</v>
      </c>
      <c r="BN140" t="s">
        <v>106</v>
      </c>
      <c r="BO140" t="str">
        <f t="shared" si="69"/>
        <v>Fábio Albino</v>
      </c>
      <c r="BP140" t="b">
        <f t="shared" si="70"/>
        <v>1</v>
      </c>
    </row>
    <row r="141" spans="1:68">
      <c r="A141">
        <v>140</v>
      </c>
      <c r="B141" t="s">
        <v>107</v>
      </c>
      <c r="C141" s="1">
        <v>9146095697</v>
      </c>
      <c r="D141" t="s">
        <v>280</v>
      </c>
      <c r="E141">
        <f>COUNTIF($C$1:C141,C141)</f>
        <v>1</v>
      </c>
      <c r="F141" t="str">
        <f t="shared" si="62"/>
        <v>91460956971</v>
      </c>
      <c r="G141">
        <f t="shared" si="63"/>
        <v>1</v>
      </c>
      <c r="H141">
        <f t="shared" si="71"/>
        <v>0</v>
      </c>
      <c r="I141" s="4">
        <v>9145653559</v>
      </c>
      <c r="J141" s="5">
        <f t="shared" si="64"/>
        <v>1</v>
      </c>
      <c r="K141" s="5">
        <f t="shared" si="65"/>
        <v>0</v>
      </c>
      <c r="L141" s="5" t="str">
        <f t="shared" si="72"/>
        <v>317</v>
      </c>
      <c r="M141" s="5" t="str">
        <f t="shared" si="73"/>
        <v>ROVILSON</v>
      </c>
      <c r="N141">
        <f t="shared" si="66"/>
        <v>1</v>
      </c>
      <c r="P141">
        <f t="shared" si="67"/>
        <v>317</v>
      </c>
      <c r="Q141" t="str">
        <f t="shared" si="74"/>
        <v/>
      </c>
      <c r="R141" t="str">
        <f t="shared" si="74"/>
        <v/>
      </c>
      <c r="S141" t="str">
        <f t="shared" si="74"/>
        <v/>
      </c>
      <c r="T141" t="str">
        <f t="shared" si="74"/>
        <v/>
      </c>
      <c r="U141" t="str">
        <f t="shared" si="74"/>
        <v/>
      </c>
      <c r="V141" t="str">
        <f t="shared" si="74"/>
        <v/>
      </c>
      <c r="Z141" t="str">
        <f t="shared" si="68"/>
        <v>ROVILSON</v>
      </c>
      <c r="AA141" t="str">
        <f t="shared" si="75"/>
        <v/>
      </c>
      <c r="AB141" t="str">
        <f t="shared" si="75"/>
        <v/>
      </c>
      <c r="AC141" t="str">
        <f t="shared" si="75"/>
        <v/>
      </c>
      <c r="AD141" t="str">
        <f t="shared" si="75"/>
        <v/>
      </c>
      <c r="AE141" t="str">
        <f t="shared" si="75"/>
        <v/>
      </c>
      <c r="AF141" t="str">
        <f t="shared" si="75"/>
        <v/>
      </c>
      <c r="AV141">
        <v>140</v>
      </c>
      <c r="AW141" t="s">
        <v>107</v>
      </c>
      <c r="BM141">
        <v>140</v>
      </c>
      <c r="BN141" t="s">
        <v>107</v>
      </c>
      <c r="BO141" t="str">
        <f t="shared" si="69"/>
        <v>L&amp;m wood floor pg</v>
      </c>
      <c r="BP141" t="b">
        <f t="shared" si="70"/>
        <v>1</v>
      </c>
    </row>
    <row r="142" spans="1:68">
      <c r="A142">
        <v>141</v>
      </c>
      <c r="B142" t="s">
        <v>108</v>
      </c>
      <c r="D142" t="s">
        <v>281</v>
      </c>
      <c r="E142">
        <f>COUNTIF($C$1:C142,C142)</f>
        <v>0</v>
      </c>
      <c r="F142" t="str">
        <f t="shared" si="62"/>
        <v>0</v>
      </c>
      <c r="G142">
        <f t="shared" si="63"/>
        <v>0</v>
      </c>
      <c r="H142">
        <f t="shared" si="71"/>
        <v>0</v>
      </c>
      <c r="I142" s="2">
        <v>5042666286</v>
      </c>
      <c r="J142" s="3">
        <f t="shared" si="64"/>
        <v>1</v>
      </c>
      <c r="K142" s="3">
        <f t="shared" si="65"/>
        <v>0</v>
      </c>
      <c r="L142" s="3" t="str">
        <f t="shared" si="72"/>
        <v>327</v>
      </c>
      <c r="M142" s="3" t="str">
        <f t="shared" si="73"/>
        <v>TATI CUMPA</v>
      </c>
      <c r="N142">
        <f t="shared" si="66"/>
        <v>1</v>
      </c>
      <c r="P142">
        <f t="shared" si="67"/>
        <v>327</v>
      </c>
      <c r="Q142" t="str">
        <f t="shared" ref="Q142:V151" si="76">IFERROR(", "&amp;INDEX($A$2:$A$501,MATCH($I142&amp;Q$1,$F$2:$F$501,0)),"")</f>
        <v/>
      </c>
      <c r="R142" t="str">
        <f t="shared" si="76"/>
        <v/>
      </c>
      <c r="S142" t="str">
        <f t="shared" si="76"/>
        <v/>
      </c>
      <c r="T142" t="str">
        <f t="shared" si="76"/>
        <v/>
      </c>
      <c r="U142" t="str">
        <f t="shared" si="76"/>
        <v/>
      </c>
      <c r="V142" t="str">
        <f t="shared" si="76"/>
        <v/>
      </c>
      <c r="Z142" t="str">
        <f t="shared" si="68"/>
        <v>TATI CUMPA</v>
      </c>
      <c r="AA142" t="str">
        <f t="shared" ref="AA142:AF151" si="77">IFERROR(" ,"&amp;INDEX($B$2:$B$501,MATCH($I142&amp;AA$1,$F$2:$F$501,0)),"")</f>
        <v/>
      </c>
      <c r="AB142" t="str">
        <f t="shared" si="77"/>
        <v/>
      </c>
      <c r="AC142" t="str">
        <f t="shared" si="77"/>
        <v/>
      </c>
      <c r="AD142" t="str">
        <f t="shared" si="77"/>
        <v/>
      </c>
      <c r="AE142" t="str">
        <f t="shared" si="77"/>
        <v/>
      </c>
      <c r="AF142" t="str">
        <f t="shared" si="77"/>
        <v/>
      </c>
      <c r="AV142">
        <v>141</v>
      </c>
      <c r="AW142" t="s">
        <v>108</v>
      </c>
      <c r="BM142">
        <v>141</v>
      </c>
      <c r="BN142" t="s">
        <v>108</v>
      </c>
      <c r="BO142" t="str">
        <f t="shared" si="69"/>
        <v>Júlio César</v>
      </c>
      <c r="BP142" t="b">
        <f t="shared" si="70"/>
        <v>1</v>
      </c>
    </row>
    <row r="143" spans="1:68">
      <c r="A143">
        <v>142</v>
      </c>
      <c r="B143" t="s">
        <v>109</v>
      </c>
      <c r="C143" s="1">
        <v>9147740936</v>
      </c>
      <c r="D143" t="s">
        <v>280</v>
      </c>
      <c r="E143">
        <f>COUNTIF($C$1:C143,C143)</f>
        <v>1</v>
      </c>
      <c r="F143" t="str">
        <f t="shared" si="62"/>
        <v>91477409361</v>
      </c>
      <c r="G143">
        <f t="shared" si="63"/>
        <v>1</v>
      </c>
      <c r="H143">
        <f t="shared" si="71"/>
        <v>0</v>
      </c>
      <c r="I143" s="4">
        <v>9148799779</v>
      </c>
      <c r="J143" s="5">
        <f t="shared" si="64"/>
        <v>3</v>
      </c>
      <c r="K143" s="5">
        <f t="shared" si="65"/>
        <v>3</v>
      </c>
      <c r="L143" s="5" t="str">
        <f t="shared" si="72"/>
        <v>328, 351, 456</v>
      </c>
      <c r="M143" s="5" t="str">
        <f t="shared" si="73"/>
        <v>João / filho (f) ,João/folho pg ,João /filho pg</v>
      </c>
      <c r="N143">
        <f t="shared" si="66"/>
        <v>0</v>
      </c>
      <c r="P143">
        <f t="shared" si="67"/>
        <v>328</v>
      </c>
      <c r="Q143" t="str">
        <f t="shared" si="76"/>
        <v>, 351</v>
      </c>
      <c r="R143" t="str">
        <f t="shared" si="76"/>
        <v>, 456</v>
      </c>
      <c r="S143" t="str">
        <f t="shared" si="76"/>
        <v/>
      </c>
      <c r="T143" t="str">
        <f t="shared" si="76"/>
        <v/>
      </c>
      <c r="U143" t="str">
        <f t="shared" si="76"/>
        <v/>
      </c>
      <c r="V143" t="str">
        <f t="shared" si="76"/>
        <v/>
      </c>
      <c r="Z143" t="str">
        <f t="shared" si="68"/>
        <v>João / filho (f)</v>
      </c>
      <c r="AA143" t="str">
        <f t="shared" si="77"/>
        <v xml:space="preserve"> ,João/folho pg</v>
      </c>
      <c r="AB143" t="str">
        <f t="shared" si="77"/>
        <v xml:space="preserve"> ,João /filho pg</v>
      </c>
      <c r="AC143" t="str">
        <f t="shared" si="77"/>
        <v/>
      </c>
      <c r="AD143" t="str">
        <f t="shared" si="77"/>
        <v/>
      </c>
      <c r="AE143" t="str">
        <f t="shared" si="77"/>
        <v/>
      </c>
      <c r="AF143" t="str">
        <f t="shared" si="77"/>
        <v/>
      </c>
      <c r="AV143">
        <v>142</v>
      </c>
      <c r="AW143" t="s">
        <v>109</v>
      </c>
      <c r="BM143">
        <v>142</v>
      </c>
      <c r="BN143" t="s">
        <v>109</v>
      </c>
      <c r="BO143" t="str">
        <f t="shared" si="69"/>
        <v>Gustavo Freitas pg</v>
      </c>
      <c r="BP143" t="b">
        <f t="shared" si="70"/>
        <v>1</v>
      </c>
    </row>
    <row r="144" spans="1:68">
      <c r="A144">
        <v>143</v>
      </c>
      <c r="B144" t="s">
        <v>342</v>
      </c>
      <c r="C144" s="1">
        <v>9144862420</v>
      </c>
      <c r="D144" t="s">
        <v>280</v>
      </c>
      <c r="E144">
        <f>COUNTIF($C$1:C144,C144)</f>
        <v>1</v>
      </c>
      <c r="F144" t="str">
        <f t="shared" si="62"/>
        <v>91448624201</v>
      </c>
      <c r="G144">
        <f t="shared" si="63"/>
        <v>1</v>
      </c>
      <c r="H144">
        <f t="shared" si="71"/>
        <v>0</v>
      </c>
      <c r="I144" s="2">
        <v>9143190338</v>
      </c>
      <c r="J144" s="3">
        <f t="shared" si="64"/>
        <v>4</v>
      </c>
      <c r="K144" s="3">
        <f t="shared" si="65"/>
        <v>2</v>
      </c>
      <c r="L144" s="3" t="str">
        <f t="shared" si="72"/>
        <v>124, 329, 416, 462</v>
      </c>
      <c r="M144" s="3" t="str">
        <f t="shared" si="73"/>
        <v>JONH pg ,Thiago / Jon ,Thiago / Jon ,Thiago / Jon (f)</v>
      </c>
      <c r="N144">
        <f t="shared" si="66"/>
        <v>2</v>
      </c>
      <c r="P144">
        <f t="shared" si="67"/>
        <v>124</v>
      </c>
      <c r="Q144" t="str">
        <f t="shared" si="76"/>
        <v>, 329</v>
      </c>
      <c r="R144" t="str">
        <f t="shared" si="76"/>
        <v>, 416</v>
      </c>
      <c r="S144" t="str">
        <f t="shared" si="76"/>
        <v>, 462</v>
      </c>
      <c r="T144" t="str">
        <f t="shared" si="76"/>
        <v/>
      </c>
      <c r="U144" t="str">
        <f t="shared" si="76"/>
        <v/>
      </c>
      <c r="V144" t="str">
        <f t="shared" si="76"/>
        <v/>
      </c>
      <c r="Z144" t="str">
        <f t="shared" si="68"/>
        <v>JONH pg</v>
      </c>
      <c r="AA144" t="str">
        <f t="shared" si="77"/>
        <v xml:space="preserve"> ,Thiago / Jon</v>
      </c>
      <c r="AB144" t="str">
        <f t="shared" si="77"/>
        <v xml:space="preserve"> ,Thiago / Jon</v>
      </c>
      <c r="AC144" t="str">
        <f t="shared" si="77"/>
        <v xml:space="preserve"> ,Thiago / Jon (f)</v>
      </c>
      <c r="AD144" t="str">
        <f t="shared" si="77"/>
        <v/>
      </c>
      <c r="AE144" t="str">
        <f t="shared" si="77"/>
        <v/>
      </c>
      <c r="AF144" t="str">
        <f t="shared" si="77"/>
        <v/>
      </c>
      <c r="AV144">
        <v>143</v>
      </c>
      <c r="AW144" t="s">
        <v>110</v>
      </c>
      <c r="BM144">
        <v>143</v>
      </c>
      <c r="BN144" t="s">
        <v>342</v>
      </c>
      <c r="BO144" t="str">
        <f t="shared" si="69"/>
        <v>GUILHER BORGES pg</v>
      </c>
      <c r="BP144" t="b">
        <f t="shared" si="70"/>
        <v>1</v>
      </c>
    </row>
    <row r="145" spans="1:68">
      <c r="A145">
        <v>144</v>
      </c>
      <c r="B145" t="s">
        <v>89</v>
      </c>
      <c r="C145" s="1">
        <v>2035456330</v>
      </c>
      <c r="D145" t="s">
        <v>280</v>
      </c>
      <c r="E145">
        <f>COUNTIF($C$1:C145,C145)</f>
        <v>4</v>
      </c>
      <c r="F145" t="str">
        <f t="shared" si="62"/>
        <v>20354563304</v>
      </c>
      <c r="G145">
        <f t="shared" si="63"/>
        <v>0</v>
      </c>
      <c r="H145">
        <f t="shared" si="71"/>
        <v>0</v>
      </c>
      <c r="I145" s="4">
        <v>2035456583</v>
      </c>
      <c r="J145" s="5">
        <f t="shared" si="64"/>
        <v>1</v>
      </c>
      <c r="K145" s="5">
        <f t="shared" si="65"/>
        <v>1</v>
      </c>
      <c r="L145" s="5" t="str">
        <f t="shared" si="72"/>
        <v>330</v>
      </c>
      <c r="M145" s="5" t="str">
        <f t="shared" si="73"/>
        <v>Junior /Rodrigao pg</v>
      </c>
      <c r="N145">
        <f t="shared" si="66"/>
        <v>0</v>
      </c>
      <c r="P145">
        <f t="shared" si="67"/>
        <v>330</v>
      </c>
      <c r="Q145" t="str">
        <f t="shared" si="76"/>
        <v/>
      </c>
      <c r="R145" t="str">
        <f t="shared" si="76"/>
        <v/>
      </c>
      <c r="S145" t="str">
        <f t="shared" si="76"/>
        <v/>
      </c>
      <c r="T145" t="str">
        <f t="shared" si="76"/>
        <v/>
      </c>
      <c r="U145" t="str">
        <f t="shared" si="76"/>
        <v/>
      </c>
      <c r="V145" t="str">
        <f t="shared" si="76"/>
        <v/>
      </c>
      <c r="Z145" t="str">
        <f t="shared" si="68"/>
        <v>Junior /Rodrigao pg</v>
      </c>
      <c r="AA145" t="str">
        <f t="shared" si="77"/>
        <v/>
      </c>
      <c r="AB145" t="str">
        <f t="shared" si="77"/>
        <v/>
      </c>
      <c r="AC145" t="str">
        <f t="shared" si="77"/>
        <v/>
      </c>
      <c r="AD145" t="str">
        <f t="shared" si="77"/>
        <v/>
      </c>
      <c r="AE145" t="str">
        <f t="shared" si="77"/>
        <v/>
      </c>
      <c r="AF145" t="str">
        <f t="shared" si="77"/>
        <v/>
      </c>
      <c r="AV145">
        <v>144</v>
      </c>
      <c r="AW145" t="s">
        <v>89</v>
      </c>
      <c r="BM145">
        <v>144</v>
      </c>
      <c r="BN145" t="s">
        <v>89</v>
      </c>
      <c r="BO145" t="str">
        <f t="shared" si="69"/>
        <v>RONIVON</v>
      </c>
      <c r="BP145" t="b">
        <f t="shared" si="70"/>
        <v>1</v>
      </c>
    </row>
    <row r="146" spans="1:68">
      <c r="A146">
        <v>145</v>
      </c>
      <c r="B146" t="s">
        <v>371</v>
      </c>
      <c r="C146" s="1">
        <v>4752368737</v>
      </c>
      <c r="D146" t="s">
        <v>280</v>
      </c>
      <c r="E146">
        <f>COUNTIF($C$1:C146,C146)</f>
        <v>2</v>
      </c>
      <c r="F146" t="str">
        <f t="shared" si="62"/>
        <v>47523687372</v>
      </c>
      <c r="G146">
        <f t="shared" si="63"/>
        <v>0</v>
      </c>
      <c r="H146">
        <f t="shared" si="71"/>
        <v>1</v>
      </c>
      <c r="I146" s="2">
        <v>2039812008</v>
      </c>
      <c r="J146" s="3">
        <f t="shared" si="64"/>
        <v>1</v>
      </c>
      <c r="K146" s="3">
        <f t="shared" si="65"/>
        <v>1</v>
      </c>
      <c r="L146" s="3" t="str">
        <f t="shared" si="72"/>
        <v>332</v>
      </c>
      <c r="M146" s="3" t="str">
        <f t="shared" si="73"/>
        <v>Ataide Junior pg</v>
      </c>
      <c r="N146">
        <f t="shared" si="66"/>
        <v>0</v>
      </c>
      <c r="P146">
        <f t="shared" si="67"/>
        <v>332</v>
      </c>
      <c r="Q146" t="str">
        <f t="shared" si="76"/>
        <v/>
      </c>
      <c r="R146" t="str">
        <f t="shared" si="76"/>
        <v/>
      </c>
      <c r="S146" t="str">
        <f t="shared" si="76"/>
        <v/>
      </c>
      <c r="T146" t="str">
        <f t="shared" si="76"/>
        <v/>
      </c>
      <c r="U146" t="str">
        <f t="shared" si="76"/>
        <v/>
      </c>
      <c r="V146" t="str">
        <f t="shared" si="76"/>
        <v/>
      </c>
      <c r="Z146" t="str">
        <f t="shared" si="68"/>
        <v>Ataide Junior pg</v>
      </c>
      <c r="AA146" t="str">
        <f t="shared" si="77"/>
        <v/>
      </c>
      <c r="AB146" t="str">
        <f t="shared" si="77"/>
        <v/>
      </c>
      <c r="AC146" t="str">
        <f t="shared" si="77"/>
        <v/>
      </c>
      <c r="AD146" t="str">
        <f t="shared" si="77"/>
        <v/>
      </c>
      <c r="AE146" t="str">
        <f t="shared" si="77"/>
        <v/>
      </c>
      <c r="AF146" t="str">
        <f t="shared" si="77"/>
        <v/>
      </c>
      <c r="AV146">
        <v>145</v>
      </c>
      <c r="AW146" t="s">
        <v>111</v>
      </c>
      <c r="BM146">
        <v>145</v>
      </c>
      <c r="BN146" t="s">
        <v>111</v>
      </c>
      <c r="BO146" t="str">
        <f t="shared" si="69"/>
        <v>Felipe Pimentel (f)</v>
      </c>
      <c r="BP146" t="b">
        <f t="shared" si="70"/>
        <v>0</v>
      </c>
    </row>
    <row r="147" spans="1:68">
      <c r="A147">
        <v>146</v>
      </c>
      <c r="B147" t="s">
        <v>112</v>
      </c>
      <c r="C147" s="1">
        <v>9144901203</v>
      </c>
      <c r="D147" t="s">
        <v>280</v>
      </c>
      <c r="E147">
        <f>COUNTIF($C$1:C147,C147)</f>
        <v>1</v>
      </c>
      <c r="F147" t="str">
        <f t="shared" si="62"/>
        <v>91449012031</v>
      </c>
      <c r="G147">
        <f t="shared" si="63"/>
        <v>1</v>
      </c>
      <c r="H147">
        <f t="shared" si="71"/>
        <v>0</v>
      </c>
      <c r="I147" s="4">
        <v>2035450805</v>
      </c>
      <c r="J147" s="5">
        <f t="shared" si="64"/>
        <v>2</v>
      </c>
      <c r="K147" s="5">
        <f t="shared" si="65"/>
        <v>2</v>
      </c>
      <c r="L147" s="5" t="str">
        <f t="shared" si="72"/>
        <v>333, 477</v>
      </c>
      <c r="M147" s="5" t="str">
        <f t="shared" si="73"/>
        <v>DEMI pg ,DEMI pg</v>
      </c>
      <c r="N147">
        <f t="shared" si="66"/>
        <v>0</v>
      </c>
      <c r="P147">
        <f t="shared" si="67"/>
        <v>333</v>
      </c>
      <c r="Q147" t="str">
        <f t="shared" si="76"/>
        <v>, 477</v>
      </c>
      <c r="R147" t="str">
        <f t="shared" si="76"/>
        <v/>
      </c>
      <c r="S147" t="str">
        <f t="shared" si="76"/>
        <v/>
      </c>
      <c r="T147" t="str">
        <f t="shared" si="76"/>
        <v/>
      </c>
      <c r="U147" t="str">
        <f t="shared" si="76"/>
        <v/>
      </c>
      <c r="V147" t="str">
        <f t="shared" si="76"/>
        <v/>
      </c>
      <c r="Z147" t="str">
        <f t="shared" si="68"/>
        <v>DEMI pg</v>
      </c>
      <c r="AA147" t="str">
        <f t="shared" si="77"/>
        <v xml:space="preserve"> ,DEMI pg</v>
      </c>
      <c r="AB147" t="str">
        <f t="shared" si="77"/>
        <v/>
      </c>
      <c r="AC147" t="str">
        <f t="shared" si="77"/>
        <v/>
      </c>
      <c r="AD147" t="str">
        <f t="shared" si="77"/>
        <v/>
      </c>
      <c r="AE147" t="str">
        <f t="shared" si="77"/>
        <v/>
      </c>
      <c r="AF147" t="str">
        <f t="shared" si="77"/>
        <v/>
      </c>
      <c r="AV147">
        <v>146</v>
      </c>
      <c r="AW147" t="s">
        <v>112</v>
      </c>
      <c r="BM147">
        <v>146</v>
      </c>
      <c r="BN147" t="s">
        <v>112</v>
      </c>
      <c r="BO147" t="str">
        <f t="shared" si="69"/>
        <v>WENDER pg</v>
      </c>
      <c r="BP147" t="b">
        <f t="shared" si="70"/>
        <v>1</v>
      </c>
    </row>
    <row r="148" spans="1:68" ht="14.4">
      <c r="A148">
        <v>147</v>
      </c>
      <c r="B148" t="s">
        <v>355</v>
      </c>
      <c r="C148" s="1">
        <v>9144175819</v>
      </c>
      <c r="D148" t="s">
        <v>280</v>
      </c>
      <c r="E148">
        <f>COUNTIF($C$1:C148,C148)</f>
        <v>1</v>
      </c>
      <c r="F148" t="str">
        <f t="shared" si="62"/>
        <v>91441758191</v>
      </c>
      <c r="G148">
        <f t="shared" si="63"/>
        <v>1</v>
      </c>
      <c r="H148">
        <f t="shared" si="71"/>
        <v>0</v>
      </c>
      <c r="I148" s="2">
        <v>4752390719</v>
      </c>
      <c r="J148" s="3">
        <f t="shared" si="64"/>
        <v>1</v>
      </c>
      <c r="K148" s="3">
        <f t="shared" si="65"/>
        <v>1</v>
      </c>
      <c r="L148" s="3" t="str">
        <f t="shared" si="72"/>
        <v>345</v>
      </c>
      <c r="M148" s="6" t="str">
        <f t="shared" si="73"/>
        <v>EDERALDO pg</v>
      </c>
      <c r="N148">
        <f t="shared" si="66"/>
        <v>0</v>
      </c>
      <c r="P148">
        <f t="shared" si="67"/>
        <v>345</v>
      </c>
      <c r="Q148" t="str">
        <f t="shared" si="76"/>
        <v/>
      </c>
      <c r="R148" t="str">
        <f t="shared" si="76"/>
        <v/>
      </c>
      <c r="S148" t="str">
        <f t="shared" si="76"/>
        <v/>
      </c>
      <c r="T148" t="str">
        <f t="shared" si="76"/>
        <v/>
      </c>
      <c r="U148" t="str">
        <f t="shared" si="76"/>
        <v/>
      </c>
      <c r="V148" t="str">
        <f t="shared" si="76"/>
        <v/>
      </c>
      <c r="Z148" t="str">
        <f t="shared" si="68"/>
        <v>EDERALDO pg</v>
      </c>
      <c r="AA148" t="str">
        <f t="shared" si="77"/>
        <v/>
      </c>
      <c r="AB148" t="str">
        <f t="shared" si="77"/>
        <v/>
      </c>
      <c r="AC148" t="str">
        <f t="shared" si="77"/>
        <v/>
      </c>
      <c r="AD148" t="str">
        <f t="shared" si="77"/>
        <v/>
      </c>
      <c r="AE148" t="str">
        <f t="shared" si="77"/>
        <v/>
      </c>
      <c r="AF148" t="str">
        <f t="shared" si="77"/>
        <v/>
      </c>
      <c r="AV148">
        <v>147</v>
      </c>
      <c r="AW148" t="s">
        <v>58</v>
      </c>
      <c r="BM148">
        <v>147</v>
      </c>
      <c r="BN148" t="s">
        <v>58</v>
      </c>
      <c r="BO148" t="str">
        <f t="shared" si="69"/>
        <v>ANDERSON POLICARPO pg</v>
      </c>
      <c r="BP148" t="b">
        <f t="shared" si="70"/>
        <v>0</v>
      </c>
    </row>
    <row r="149" spans="1:68">
      <c r="A149">
        <v>148</v>
      </c>
      <c r="B149" t="s">
        <v>333</v>
      </c>
      <c r="C149" s="1">
        <v>9144381725</v>
      </c>
      <c r="D149" t="s">
        <v>280</v>
      </c>
      <c r="E149">
        <f>COUNTIF($C$1:C149,C149)</f>
        <v>1</v>
      </c>
      <c r="F149" t="str">
        <f t="shared" si="62"/>
        <v>91443817251</v>
      </c>
      <c r="G149">
        <f t="shared" si="63"/>
        <v>1</v>
      </c>
      <c r="H149">
        <f t="shared" si="71"/>
        <v>0</v>
      </c>
      <c r="I149" s="4">
        <v>9143544961</v>
      </c>
      <c r="J149" s="5">
        <f t="shared" si="64"/>
        <v>1</v>
      </c>
      <c r="K149" s="5">
        <f t="shared" si="65"/>
        <v>0</v>
      </c>
      <c r="L149" s="5" t="str">
        <f t="shared" si="72"/>
        <v>348</v>
      </c>
      <c r="M149" s="5" t="str">
        <f t="shared" si="73"/>
        <v>João da Deli</v>
      </c>
      <c r="N149">
        <f t="shared" si="66"/>
        <v>1</v>
      </c>
      <c r="P149">
        <f t="shared" si="67"/>
        <v>348</v>
      </c>
      <c r="Q149" t="str">
        <f t="shared" si="76"/>
        <v/>
      </c>
      <c r="R149" t="str">
        <f t="shared" si="76"/>
        <v/>
      </c>
      <c r="S149" t="str">
        <f t="shared" si="76"/>
        <v/>
      </c>
      <c r="T149" t="str">
        <f t="shared" si="76"/>
        <v/>
      </c>
      <c r="U149" t="str">
        <f t="shared" si="76"/>
        <v/>
      </c>
      <c r="V149" t="str">
        <f t="shared" si="76"/>
        <v/>
      </c>
      <c r="Z149" t="str">
        <f t="shared" si="68"/>
        <v>João da Deli</v>
      </c>
      <c r="AA149" t="str">
        <f t="shared" si="77"/>
        <v/>
      </c>
      <c r="AB149" t="str">
        <f t="shared" si="77"/>
        <v/>
      </c>
      <c r="AC149" t="str">
        <f t="shared" si="77"/>
        <v/>
      </c>
      <c r="AD149" t="str">
        <f t="shared" si="77"/>
        <v/>
      </c>
      <c r="AE149" t="str">
        <f t="shared" si="77"/>
        <v/>
      </c>
      <c r="AF149" t="str">
        <f t="shared" si="77"/>
        <v/>
      </c>
      <c r="AV149">
        <v>148</v>
      </c>
      <c r="AW149" t="s">
        <v>113</v>
      </c>
      <c r="BM149">
        <v>148</v>
      </c>
      <c r="BN149" t="s">
        <v>113</v>
      </c>
      <c r="BO149" t="str">
        <f t="shared" si="69"/>
        <v>Juliano Farias /gustavo pg</v>
      </c>
      <c r="BP149" t="b">
        <v>1</v>
      </c>
    </row>
    <row r="150" spans="1:68">
      <c r="A150">
        <v>149</v>
      </c>
      <c r="B150" t="s">
        <v>114</v>
      </c>
      <c r="C150" s="1">
        <v>9148069703</v>
      </c>
      <c r="D150" t="s">
        <v>280</v>
      </c>
      <c r="E150">
        <f>COUNTIF($C$1:C150,C150)</f>
        <v>1</v>
      </c>
      <c r="F150" t="str">
        <f t="shared" si="62"/>
        <v>91480697031</v>
      </c>
      <c r="G150">
        <f t="shared" si="63"/>
        <v>0</v>
      </c>
      <c r="H150">
        <f t="shared" si="71"/>
        <v>0</v>
      </c>
      <c r="I150" s="2">
        <v>9143563105</v>
      </c>
      <c r="J150" s="3">
        <f t="shared" si="64"/>
        <v>2</v>
      </c>
      <c r="K150" s="3">
        <f t="shared" si="65"/>
        <v>2</v>
      </c>
      <c r="L150" s="3" t="str">
        <f t="shared" si="72"/>
        <v>356, 364</v>
      </c>
      <c r="M150" s="3" t="str">
        <f t="shared" si="73"/>
        <v>DANIEL SILVA pg ,Daniel Silva pg</v>
      </c>
      <c r="N150">
        <f t="shared" si="66"/>
        <v>0</v>
      </c>
      <c r="P150">
        <f t="shared" si="67"/>
        <v>356</v>
      </c>
      <c r="Q150" t="str">
        <f t="shared" si="76"/>
        <v>, 364</v>
      </c>
      <c r="R150" t="str">
        <f t="shared" si="76"/>
        <v/>
      </c>
      <c r="S150" t="str">
        <f t="shared" si="76"/>
        <v/>
      </c>
      <c r="T150" t="str">
        <f t="shared" si="76"/>
        <v/>
      </c>
      <c r="U150" t="str">
        <f t="shared" si="76"/>
        <v/>
      </c>
      <c r="V150" t="str">
        <f t="shared" si="76"/>
        <v/>
      </c>
      <c r="Z150" t="str">
        <f t="shared" si="68"/>
        <v>DANIEL SILVA pg</v>
      </c>
      <c r="AA150" t="str">
        <f t="shared" si="77"/>
        <v xml:space="preserve"> ,Daniel Silva pg</v>
      </c>
      <c r="AB150" t="str">
        <f t="shared" si="77"/>
        <v/>
      </c>
      <c r="AC150" t="str">
        <f t="shared" si="77"/>
        <v/>
      </c>
      <c r="AD150" t="str">
        <f t="shared" si="77"/>
        <v/>
      </c>
      <c r="AE150" t="str">
        <f t="shared" si="77"/>
        <v/>
      </c>
      <c r="AF150" t="str">
        <f t="shared" si="77"/>
        <v/>
      </c>
      <c r="AV150">
        <v>149</v>
      </c>
      <c r="AW150" t="s">
        <v>114</v>
      </c>
      <c r="BM150">
        <v>149</v>
      </c>
      <c r="BN150" t="s">
        <v>114</v>
      </c>
      <c r="BO150" t="str">
        <f t="shared" si="69"/>
        <v>CLAUDIO (DINHO )</v>
      </c>
      <c r="BP150" t="b">
        <f>BO150=BN150</f>
        <v>1</v>
      </c>
    </row>
    <row r="151" spans="1:68">
      <c r="A151">
        <v>150</v>
      </c>
      <c r="B151" t="s">
        <v>33</v>
      </c>
      <c r="C151" s="1">
        <v>2038566452</v>
      </c>
      <c r="D151" t="s">
        <v>280</v>
      </c>
      <c r="E151">
        <f>COUNTIF($C$1:C151,C151)</f>
        <v>2</v>
      </c>
      <c r="F151" t="str">
        <f t="shared" si="62"/>
        <v>20385664522</v>
      </c>
      <c r="G151">
        <f t="shared" si="63"/>
        <v>0</v>
      </c>
      <c r="H151">
        <f t="shared" si="71"/>
        <v>0</v>
      </c>
      <c r="I151" s="4">
        <v>9542976570</v>
      </c>
      <c r="J151" s="5">
        <f t="shared" si="64"/>
        <v>1</v>
      </c>
      <c r="K151" s="5">
        <f t="shared" si="65"/>
        <v>0</v>
      </c>
      <c r="L151" s="5" t="str">
        <f t="shared" si="72"/>
        <v>357</v>
      </c>
      <c r="M151" s="5" t="str">
        <f t="shared" si="73"/>
        <v>Berg</v>
      </c>
      <c r="N151">
        <f t="shared" si="66"/>
        <v>1</v>
      </c>
      <c r="P151">
        <f t="shared" si="67"/>
        <v>357</v>
      </c>
      <c r="Q151" t="str">
        <f t="shared" si="76"/>
        <v/>
      </c>
      <c r="R151" t="str">
        <f t="shared" si="76"/>
        <v/>
      </c>
      <c r="S151" t="str">
        <f t="shared" si="76"/>
        <v/>
      </c>
      <c r="T151" t="str">
        <f t="shared" si="76"/>
        <v/>
      </c>
      <c r="U151" t="str">
        <f t="shared" si="76"/>
        <v/>
      </c>
      <c r="V151" t="str">
        <f t="shared" si="76"/>
        <v/>
      </c>
      <c r="Z151" t="str">
        <f t="shared" si="68"/>
        <v>Berg</v>
      </c>
      <c r="AA151" t="str">
        <f t="shared" si="77"/>
        <v/>
      </c>
      <c r="AB151" t="str">
        <f t="shared" si="77"/>
        <v/>
      </c>
      <c r="AC151" t="str">
        <f t="shared" si="77"/>
        <v/>
      </c>
      <c r="AD151" t="str">
        <f t="shared" si="77"/>
        <v/>
      </c>
      <c r="AE151" t="str">
        <f t="shared" si="77"/>
        <v/>
      </c>
      <c r="AF151" t="str">
        <f t="shared" si="77"/>
        <v/>
      </c>
      <c r="AV151">
        <v>150</v>
      </c>
      <c r="AW151" t="s">
        <v>33</v>
      </c>
      <c r="BM151">
        <v>150</v>
      </c>
      <c r="BN151" t="s">
        <v>33</v>
      </c>
      <c r="BO151" t="str">
        <f t="shared" si="69"/>
        <v>SANZIO</v>
      </c>
      <c r="BP151" t="b">
        <f>BO151=BN151</f>
        <v>1</v>
      </c>
    </row>
    <row r="152" spans="1:68">
      <c r="A152">
        <v>151</v>
      </c>
      <c r="B152" t="s">
        <v>115</v>
      </c>
      <c r="C152" s="1">
        <v>2039524111</v>
      </c>
      <c r="D152" t="s">
        <v>280</v>
      </c>
      <c r="E152">
        <f>COUNTIF($C$1:C152,C152)</f>
        <v>1</v>
      </c>
      <c r="F152" t="str">
        <f t="shared" si="62"/>
        <v>20395241111</v>
      </c>
      <c r="G152">
        <f t="shared" si="63"/>
        <v>0</v>
      </c>
      <c r="H152">
        <f t="shared" si="71"/>
        <v>0</v>
      </c>
      <c r="I152" s="2">
        <v>2038146659</v>
      </c>
      <c r="J152" s="3">
        <f t="shared" si="64"/>
        <v>1</v>
      </c>
      <c r="K152" s="3">
        <f t="shared" si="65"/>
        <v>1</v>
      </c>
      <c r="L152" s="3" t="str">
        <f t="shared" si="72"/>
        <v>369</v>
      </c>
      <c r="M152" s="3" t="str">
        <f t="shared" si="73"/>
        <v>Leonardo Viana pg</v>
      </c>
      <c r="N152">
        <f t="shared" si="66"/>
        <v>0</v>
      </c>
      <c r="P152">
        <f t="shared" si="67"/>
        <v>369</v>
      </c>
      <c r="Q152" t="str">
        <f t="shared" ref="Q152:V161" si="78">IFERROR(", "&amp;INDEX($A$2:$A$501,MATCH($I152&amp;Q$1,$F$2:$F$501,0)),"")</f>
        <v/>
      </c>
      <c r="R152" t="str">
        <f t="shared" si="78"/>
        <v/>
      </c>
      <c r="S152" t="str">
        <f t="shared" si="78"/>
        <v/>
      </c>
      <c r="T152" t="str">
        <f t="shared" si="78"/>
        <v/>
      </c>
      <c r="U152" t="str">
        <f t="shared" si="78"/>
        <v/>
      </c>
      <c r="V152" t="str">
        <f t="shared" si="78"/>
        <v/>
      </c>
      <c r="Z152" t="str">
        <f t="shared" si="68"/>
        <v>Leonardo Viana pg</v>
      </c>
      <c r="AA152" t="str">
        <f t="shared" ref="AA152:AF161" si="79">IFERROR(" ,"&amp;INDEX($B$2:$B$501,MATCH($I152&amp;AA$1,$F$2:$F$501,0)),"")</f>
        <v/>
      </c>
      <c r="AB152" t="str">
        <f t="shared" si="79"/>
        <v/>
      </c>
      <c r="AC152" t="str">
        <f t="shared" si="79"/>
        <v/>
      </c>
      <c r="AD152" t="str">
        <f t="shared" si="79"/>
        <v/>
      </c>
      <c r="AE152" t="str">
        <f t="shared" si="79"/>
        <v/>
      </c>
      <c r="AF152" t="str">
        <f t="shared" si="79"/>
        <v/>
      </c>
      <c r="AV152">
        <v>151</v>
      </c>
      <c r="AW152" t="s">
        <v>115</v>
      </c>
      <c r="BM152">
        <v>151</v>
      </c>
      <c r="BN152" t="s">
        <v>115</v>
      </c>
      <c r="BO152" t="str">
        <f t="shared" si="69"/>
        <v>Leandro at lpslimo</v>
      </c>
      <c r="BP152" t="b">
        <f>BO152=BN152</f>
        <v>1</v>
      </c>
    </row>
    <row r="153" spans="1:68">
      <c r="A153">
        <v>152</v>
      </c>
      <c r="B153" t="s">
        <v>116</v>
      </c>
      <c r="C153" s="1">
        <v>2039804388</v>
      </c>
      <c r="D153" t="s">
        <v>280</v>
      </c>
      <c r="E153">
        <f>COUNTIF($C$1:C153,C153)</f>
        <v>1</v>
      </c>
      <c r="F153" t="str">
        <f t="shared" si="62"/>
        <v>20398043881</v>
      </c>
      <c r="G153">
        <f t="shared" si="63"/>
        <v>1</v>
      </c>
      <c r="H153">
        <f t="shared" si="71"/>
        <v>0</v>
      </c>
      <c r="I153" s="4">
        <v>9148043987</v>
      </c>
      <c r="J153" s="5">
        <f t="shared" si="64"/>
        <v>3</v>
      </c>
      <c r="K153" s="5">
        <f t="shared" si="65"/>
        <v>0</v>
      </c>
      <c r="L153" s="5" t="str">
        <f t="shared" si="72"/>
        <v>370, 480, 486</v>
      </c>
      <c r="M153" s="5" t="str">
        <f t="shared" si="73"/>
        <v>WEC ,WEC ,We</v>
      </c>
      <c r="N153">
        <f t="shared" si="66"/>
        <v>3</v>
      </c>
      <c r="P153">
        <f t="shared" si="67"/>
        <v>370</v>
      </c>
      <c r="Q153" t="str">
        <f t="shared" si="78"/>
        <v>, 480</v>
      </c>
      <c r="R153" t="str">
        <f t="shared" si="78"/>
        <v>, 486</v>
      </c>
      <c r="S153" t="str">
        <f t="shared" si="78"/>
        <v/>
      </c>
      <c r="T153" t="str">
        <f t="shared" si="78"/>
        <v/>
      </c>
      <c r="U153" t="str">
        <f t="shared" si="78"/>
        <v/>
      </c>
      <c r="V153" t="str">
        <f t="shared" si="78"/>
        <v/>
      </c>
      <c r="Z153" t="str">
        <f t="shared" si="68"/>
        <v>WEC</v>
      </c>
      <c r="AA153" t="str">
        <f t="shared" si="79"/>
        <v xml:space="preserve"> ,WEC</v>
      </c>
      <c r="AB153" t="str">
        <f t="shared" si="79"/>
        <v xml:space="preserve"> ,We</v>
      </c>
      <c r="AC153" t="str">
        <f t="shared" si="79"/>
        <v/>
      </c>
      <c r="AD153" t="str">
        <f t="shared" si="79"/>
        <v/>
      </c>
      <c r="AE153" t="str">
        <f t="shared" si="79"/>
        <v/>
      </c>
      <c r="AF153" t="str">
        <f t="shared" si="79"/>
        <v/>
      </c>
      <c r="AV153">
        <v>152</v>
      </c>
      <c r="AW153" t="s">
        <v>116</v>
      </c>
      <c r="BM153">
        <v>152</v>
      </c>
      <c r="BN153" t="s">
        <v>116</v>
      </c>
      <c r="BO153" t="str">
        <f t="shared" si="69"/>
        <v>Afonso Eletrrcista pg</v>
      </c>
      <c r="BP153" t="b">
        <f>BO153=BN153</f>
        <v>1</v>
      </c>
    </row>
    <row r="154" spans="1:68">
      <c r="A154">
        <v>153</v>
      </c>
      <c r="B154" t="s">
        <v>117</v>
      </c>
      <c r="C154" s="1">
        <v>2035591129</v>
      </c>
      <c r="D154" t="s">
        <v>280</v>
      </c>
      <c r="E154">
        <f>COUNTIF($C$1:C154,C154)</f>
        <v>1</v>
      </c>
      <c r="F154" t="str">
        <f t="shared" si="62"/>
        <v>20355911291</v>
      </c>
      <c r="G154">
        <f t="shared" si="63"/>
        <v>1</v>
      </c>
      <c r="H154">
        <f t="shared" si="71"/>
        <v>0</v>
      </c>
      <c r="I154" s="2">
        <v>4752337695</v>
      </c>
      <c r="J154" s="3">
        <f t="shared" si="64"/>
        <v>2</v>
      </c>
      <c r="K154" s="3">
        <f t="shared" si="65"/>
        <v>0</v>
      </c>
      <c r="L154" s="3" t="str">
        <f t="shared" si="72"/>
        <v>380, 390</v>
      </c>
      <c r="M154" s="3" t="str">
        <f t="shared" si="73"/>
        <v>GV ,GV Gabriel</v>
      </c>
      <c r="N154">
        <f t="shared" si="66"/>
        <v>2</v>
      </c>
      <c r="P154">
        <f t="shared" si="67"/>
        <v>380</v>
      </c>
      <c r="Q154" t="str">
        <f t="shared" si="78"/>
        <v>, 390</v>
      </c>
      <c r="R154" t="str">
        <f t="shared" si="78"/>
        <v/>
      </c>
      <c r="S154" t="str">
        <f t="shared" si="78"/>
        <v/>
      </c>
      <c r="T154" t="str">
        <f t="shared" si="78"/>
        <v/>
      </c>
      <c r="U154" t="str">
        <f t="shared" si="78"/>
        <v/>
      </c>
      <c r="V154" t="str">
        <f t="shared" si="78"/>
        <v/>
      </c>
      <c r="Z154" t="str">
        <f t="shared" si="68"/>
        <v>GV</v>
      </c>
      <c r="AA154" t="str">
        <f t="shared" si="79"/>
        <v xml:space="preserve"> ,GV Gabriel</v>
      </c>
      <c r="AB154" t="str">
        <f t="shared" si="79"/>
        <v/>
      </c>
      <c r="AC154" t="str">
        <f t="shared" si="79"/>
        <v/>
      </c>
      <c r="AD154" t="str">
        <f t="shared" si="79"/>
        <v/>
      </c>
      <c r="AE154" t="str">
        <f t="shared" si="79"/>
        <v/>
      </c>
      <c r="AF154" t="str">
        <f t="shared" si="79"/>
        <v/>
      </c>
      <c r="AV154">
        <v>153</v>
      </c>
      <c r="AW154" t="s">
        <v>117</v>
      </c>
      <c r="BM154">
        <v>153</v>
      </c>
      <c r="BN154" t="s">
        <v>117</v>
      </c>
      <c r="BO154" t="str">
        <f t="shared" si="69"/>
        <v>Fernando Carvalho pg</v>
      </c>
      <c r="BP154" t="b">
        <f>BO154=BN154</f>
        <v>1</v>
      </c>
    </row>
    <row r="155" spans="1:68">
      <c r="A155">
        <v>154</v>
      </c>
      <c r="B155" t="s">
        <v>328</v>
      </c>
      <c r="C155" s="1">
        <v>9143569767</v>
      </c>
      <c r="D155" t="s">
        <v>280</v>
      </c>
      <c r="E155">
        <f>COUNTIF($C$1:C155,C155)</f>
        <v>1</v>
      </c>
      <c r="F155" t="str">
        <f t="shared" si="62"/>
        <v>91435697671</v>
      </c>
      <c r="G155">
        <f t="shared" si="63"/>
        <v>1</v>
      </c>
      <c r="H155">
        <f t="shared" si="71"/>
        <v>0</v>
      </c>
      <c r="I155" s="4">
        <v>9144690686</v>
      </c>
      <c r="J155" s="5">
        <f t="shared" si="64"/>
        <v>3</v>
      </c>
      <c r="K155" s="5">
        <f t="shared" si="65"/>
        <v>0</v>
      </c>
      <c r="L155" s="5" t="str">
        <f t="shared" si="72"/>
        <v>94, 382, 394</v>
      </c>
      <c r="M155" s="5" t="str">
        <f t="shared" si="73"/>
        <v>GUILHERME NOGUEIRA ,ALEX BARBOSA ,ALEX BARBOSA</v>
      </c>
      <c r="N155">
        <f t="shared" si="66"/>
        <v>3</v>
      </c>
      <c r="P155">
        <f t="shared" si="67"/>
        <v>94</v>
      </c>
      <c r="Q155" t="str">
        <f t="shared" si="78"/>
        <v>, 382</v>
      </c>
      <c r="R155" t="str">
        <f t="shared" si="78"/>
        <v>, 394</v>
      </c>
      <c r="S155" t="str">
        <f t="shared" si="78"/>
        <v/>
      </c>
      <c r="T155" t="str">
        <f t="shared" si="78"/>
        <v/>
      </c>
      <c r="U155" t="str">
        <f t="shared" si="78"/>
        <v/>
      </c>
      <c r="V155" t="str">
        <f t="shared" si="78"/>
        <v/>
      </c>
      <c r="Z155" t="str">
        <f t="shared" si="68"/>
        <v>GUILHERME NOGUEIRA</v>
      </c>
      <c r="AA155" t="str">
        <f t="shared" si="79"/>
        <v xml:space="preserve"> ,ALEX BARBOSA</v>
      </c>
      <c r="AB155" t="str">
        <f t="shared" si="79"/>
        <v xml:space="preserve"> ,ALEX BARBOSA</v>
      </c>
      <c r="AC155" t="str">
        <f t="shared" si="79"/>
        <v/>
      </c>
      <c r="AD155" t="str">
        <f t="shared" si="79"/>
        <v/>
      </c>
      <c r="AE155" t="str">
        <f t="shared" si="79"/>
        <v/>
      </c>
      <c r="AF155" t="str">
        <f t="shared" si="79"/>
        <v/>
      </c>
      <c r="AV155">
        <v>154</v>
      </c>
      <c r="AW155" t="s">
        <v>118</v>
      </c>
      <c r="BM155">
        <v>154</v>
      </c>
      <c r="BN155" t="s">
        <v>118</v>
      </c>
      <c r="BO155" t="str">
        <f t="shared" si="69"/>
        <v>Eduardo tile pg</v>
      </c>
      <c r="BP155" t="b">
        <v>1</v>
      </c>
    </row>
    <row r="156" spans="1:68">
      <c r="A156">
        <v>155</v>
      </c>
      <c r="B156" t="s">
        <v>119</v>
      </c>
      <c r="C156" s="1">
        <v>9148069703</v>
      </c>
      <c r="D156" t="s">
        <v>280</v>
      </c>
      <c r="E156">
        <f>COUNTIF($C$1:C156,C156)</f>
        <v>2</v>
      </c>
      <c r="F156" t="str">
        <f t="shared" si="62"/>
        <v>91480697032</v>
      </c>
      <c r="G156">
        <f t="shared" si="63"/>
        <v>0</v>
      </c>
      <c r="H156">
        <f t="shared" si="71"/>
        <v>0</v>
      </c>
      <c r="I156" s="2">
        <v>9144909467</v>
      </c>
      <c r="J156" s="3">
        <f t="shared" si="64"/>
        <v>1</v>
      </c>
      <c r="K156" s="3">
        <f t="shared" si="65"/>
        <v>1</v>
      </c>
      <c r="L156" s="3" t="str">
        <f t="shared" si="72"/>
        <v>384</v>
      </c>
      <c r="M156" s="3" t="str">
        <f t="shared" si="73"/>
        <v>Tuca tucano pg</v>
      </c>
      <c r="N156">
        <f t="shared" si="66"/>
        <v>0</v>
      </c>
      <c r="P156">
        <f t="shared" si="67"/>
        <v>384</v>
      </c>
      <c r="Q156" t="str">
        <f t="shared" si="78"/>
        <v/>
      </c>
      <c r="R156" t="str">
        <f t="shared" si="78"/>
        <v/>
      </c>
      <c r="S156" t="str">
        <f t="shared" si="78"/>
        <v/>
      </c>
      <c r="T156" t="str">
        <f t="shared" si="78"/>
        <v/>
      </c>
      <c r="U156" t="str">
        <f t="shared" si="78"/>
        <v/>
      </c>
      <c r="V156" t="str">
        <f t="shared" si="78"/>
        <v/>
      </c>
      <c r="Z156" t="str">
        <f t="shared" si="68"/>
        <v>Tuca tucano pg</v>
      </c>
      <c r="AA156" t="str">
        <f t="shared" si="79"/>
        <v/>
      </c>
      <c r="AB156" t="str">
        <f t="shared" si="79"/>
        <v/>
      </c>
      <c r="AC156" t="str">
        <f t="shared" si="79"/>
        <v/>
      </c>
      <c r="AD156" t="str">
        <f t="shared" si="79"/>
        <v/>
      </c>
      <c r="AE156" t="str">
        <f t="shared" si="79"/>
        <v/>
      </c>
      <c r="AF156" t="str">
        <f t="shared" si="79"/>
        <v/>
      </c>
      <c r="AV156">
        <v>155</v>
      </c>
      <c r="AW156" t="s">
        <v>119</v>
      </c>
      <c r="BM156">
        <v>155</v>
      </c>
      <c r="BN156" t="s">
        <v>119</v>
      </c>
      <c r="BO156" t="str">
        <f t="shared" si="69"/>
        <v>CLAUDIO (DINHO0</v>
      </c>
      <c r="BP156" t="b">
        <f t="shared" ref="BP156:BP163" si="80">BO156=BN156</f>
        <v>1</v>
      </c>
    </row>
    <row r="157" spans="1:68">
      <c r="A157">
        <v>156</v>
      </c>
      <c r="B157" t="s">
        <v>372</v>
      </c>
      <c r="C157" s="1">
        <v>9144904255</v>
      </c>
      <c r="D157" t="s">
        <v>280</v>
      </c>
      <c r="E157">
        <f>COUNTIF($C$1:C157,C157)</f>
        <v>1</v>
      </c>
      <c r="F157" t="str">
        <f t="shared" si="62"/>
        <v>91449042551</v>
      </c>
      <c r="G157">
        <f t="shared" si="63"/>
        <v>0</v>
      </c>
      <c r="H157">
        <f t="shared" si="71"/>
        <v>1</v>
      </c>
      <c r="I157" s="4">
        <v>2035268465</v>
      </c>
      <c r="J157" s="5">
        <f t="shared" si="64"/>
        <v>1</v>
      </c>
      <c r="K157" s="5">
        <f t="shared" si="65"/>
        <v>0</v>
      </c>
      <c r="L157" s="5" t="str">
        <f t="shared" si="72"/>
        <v>395</v>
      </c>
      <c r="M157" s="5" t="str">
        <f t="shared" si="73"/>
        <v>THIAGO NUNES</v>
      </c>
      <c r="N157">
        <f t="shared" si="66"/>
        <v>1</v>
      </c>
      <c r="P157">
        <f t="shared" si="67"/>
        <v>395</v>
      </c>
      <c r="Q157" t="str">
        <f t="shared" si="78"/>
        <v/>
      </c>
      <c r="R157" t="str">
        <f t="shared" si="78"/>
        <v/>
      </c>
      <c r="S157" t="str">
        <f t="shared" si="78"/>
        <v/>
      </c>
      <c r="T157" t="str">
        <f t="shared" si="78"/>
        <v/>
      </c>
      <c r="U157" t="str">
        <f t="shared" si="78"/>
        <v/>
      </c>
      <c r="V157" t="str">
        <f t="shared" si="78"/>
        <v/>
      </c>
      <c r="Z157" t="str">
        <f t="shared" si="68"/>
        <v>THIAGO NUNES</v>
      </c>
      <c r="AA157" t="str">
        <f t="shared" si="79"/>
        <v/>
      </c>
      <c r="AB157" t="str">
        <f t="shared" si="79"/>
        <v/>
      </c>
      <c r="AC157" t="str">
        <f t="shared" si="79"/>
        <v/>
      </c>
      <c r="AD157" t="str">
        <f t="shared" si="79"/>
        <v/>
      </c>
      <c r="AE157" t="str">
        <f t="shared" si="79"/>
        <v/>
      </c>
      <c r="AF157" t="str">
        <f t="shared" si="79"/>
        <v/>
      </c>
      <c r="AV157">
        <v>156</v>
      </c>
      <c r="AW157" t="s">
        <v>120</v>
      </c>
      <c r="BM157">
        <v>156</v>
      </c>
      <c r="BN157" t="s">
        <v>120</v>
      </c>
      <c r="BO157" t="str">
        <f t="shared" si="69"/>
        <v>Carlos Serafim (f)</v>
      </c>
      <c r="BP157" t="b">
        <f t="shared" si="80"/>
        <v>0</v>
      </c>
    </row>
    <row r="158" spans="1:68">
      <c r="A158">
        <v>157</v>
      </c>
      <c r="B158" t="s">
        <v>121</v>
      </c>
      <c r="C158" s="1">
        <v>5511961917900</v>
      </c>
      <c r="D158" t="s">
        <v>280</v>
      </c>
      <c r="E158">
        <f>COUNTIF($C$1:C158,C158)</f>
        <v>1</v>
      </c>
      <c r="F158" t="str">
        <f t="shared" si="62"/>
        <v>55119619179001</v>
      </c>
      <c r="G158">
        <f t="shared" si="63"/>
        <v>0</v>
      </c>
      <c r="H158">
        <f t="shared" si="71"/>
        <v>0</v>
      </c>
      <c r="I158" s="2">
        <v>2035127679</v>
      </c>
      <c r="J158" s="3">
        <f t="shared" si="64"/>
        <v>1</v>
      </c>
      <c r="K158" s="3">
        <f t="shared" si="65"/>
        <v>0</v>
      </c>
      <c r="L158" s="3" t="str">
        <f t="shared" si="72"/>
        <v>399</v>
      </c>
      <c r="M158" s="3" t="str">
        <f t="shared" si="73"/>
        <v>KAIO</v>
      </c>
      <c r="N158">
        <f t="shared" si="66"/>
        <v>1</v>
      </c>
      <c r="P158">
        <f t="shared" si="67"/>
        <v>399</v>
      </c>
      <c r="Q158" t="str">
        <f t="shared" si="78"/>
        <v/>
      </c>
      <c r="R158" t="str">
        <f t="shared" si="78"/>
        <v/>
      </c>
      <c r="S158" t="str">
        <f t="shared" si="78"/>
        <v/>
      </c>
      <c r="T158" t="str">
        <f t="shared" si="78"/>
        <v/>
      </c>
      <c r="U158" t="str">
        <f t="shared" si="78"/>
        <v/>
      </c>
      <c r="V158" t="str">
        <f t="shared" si="78"/>
        <v/>
      </c>
      <c r="Z158" t="str">
        <f t="shared" si="68"/>
        <v>KAIO</v>
      </c>
      <c r="AA158" t="str">
        <f t="shared" si="79"/>
        <v/>
      </c>
      <c r="AB158" t="str">
        <f t="shared" si="79"/>
        <v/>
      </c>
      <c r="AC158" t="str">
        <f t="shared" si="79"/>
        <v/>
      </c>
      <c r="AD158" t="str">
        <f t="shared" si="79"/>
        <v/>
      </c>
      <c r="AE158" t="str">
        <f t="shared" si="79"/>
        <v/>
      </c>
      <c r="AF158" t="str">
        <f t="shared" si="79"/>
        <v/>
      </c>
      <c r="AV158">
        <v>157</v>
      </c>
      <c r="AW158" t="s">
        <v>121</v>
      </c>
      <c r="BM158">
        <v>157</v>
      </c>
      <c r="BN158" t="s">
        <v>121</v>
      </c>
      <c r="BO158" t="str">
        <f t="shared" si="69"/>
        <v>KARLA</v>
      </c>
      <c r="BP158" t="b">
        <f t="shared" si="80"/>
        <v>1</v>
      </c>
    </row>
    <row r="159" spans="1:68">
      <c r="A159">
        <v>158</v>
      </c>
      <c r="B159" t="s">
        <v>117</v>
      </c>
      <c r="C159" s="1">
        <v>2035591129</v>
      </c>
      <c r="D159" t="s">
        <v>280</v>
      </c>
      <c r="E159">
        <f>COUNTIF($C$1:C159,C159)</f>
        <v>2</v>
      </c>
      <c r="F159" t="str">
        <f t="shared" si="62"/>
        <v>20355911292</v>
      </c>
      <c r="G159">
        <f t="shared" si="63"/>
        <v>1</v>
      </c>
      <c r="H159">
        <f t="shared" si="71"/>
        <v>0</v>
      </c>
      <c r="I159" s="4">
        <v>2036838414</v>
      </c>
      <c r="J159" s="5">
        <f t="shared" si="64"/>
        <v>1</v>
      </c>
      <c r="K159" s="5">
        <f t="shared" si="65"/>
        <v>0</v>
      </c>
      <c r="L159" s="5" t="str">
        <f t="shared" si="72"/>
        <v>401</v>
      </c>
      <c r="M159" s="5" t="str">
        <f t="shared" si="73"/>
        <v>Samuel</v>
      </c>
      <c r="N159">
        <f t="shared" si="66"/>
        <v>1</v>
      </c>
      <c r="P159">
        <f t="shared" si="67"/>
        <v>401</v>
      </c>
      <c r="Q159" t="str">
        <f t="shared" si="78"/>
        <v/>
      </c>
      <c r="R159" t="str">
        <f t="shared" si="78"/>
        <v/>
      </c>
      <c r="S159" t="str">
        <f t="shared" si="78"/>
        <v/>
      </c>
      <c r="T159" t="str">
        <f t="shared" si="78"/>
        <v/>
      </c>
      <c r="U159" t="str">
        <f t="shared" si="78"/>
        <v/>
      </c>
      <c r="V159" t="str">
        <f t="shared" si="78"/>
        <v/>
      </c>
      <c r="Z159" t="str">
        <f t="shared" si="68"/>
        <v>Samuel</v>
      </c>
      <c r="AA159" t="str">
        <f t="shared" si="79"/>
        <v/>
      </c>
      <c r="AB159" t="str">
        <f t="shared" si="79"/>
        <v/>
      </c>
      <c r="AC159" t="str">
        <f t="shared" si="79"/>
        <v/>
      </c>
      <c r="AD159" t="str">
        <f t="shared" si="79"/>
        <v/>
      </c>
      <c r="AE159" t="str">
        <f t="shared" si="79"/>
        <v/>
      </c>
      <c r="AF159" t="str">
        <f t="shared" si="79"/>
        <v/>
      </c>
      <c r="AV159">
        <v>158</v>
      </c>
      <c r="AW159" t="s">
        <v>117</v>
      </c>
      <c r="BM159">
        <v>158</v>
      </c>
      <c r="BN159" t="s">
        <v>117</v>
      </c>
      <c r="BO159" t="str">
        <f t="shared" si="69"/>
        <v>Fernando Carvalho pg</v>
      </c>
      <c r="BP159" t="b">
        <f t="shared" si="80"/>
        <v>1</v>
      </c>
    </row>
    <row r="160" spans="1:68">
      <c r="A160">
        <v>159</v>
      </c>
      <c r="E160">
        <f>COUNTIF($C$1:C160,C160)</f>
        <v>0</v>
      </c>
      <c r="F160" t="str">
        <f t="shared" si="62"/>
        <v>0</v>
      </c>
      <c r="G160">
        <f t="shared" si="63"/>
        <v>0</v>
      </c>
      <c r="H160">
        <f t="shared" si="71"/>
        <v>0</v>
      </c>
      <c r="I160" s="2">
        <v>7327684454</v>
      </c>
      <c r="J160" s="3">
        <f t="shared" si="64"/>
        <v>1</v>
      </c>
      <c r="K160" s="3">
        <f t="shared" si="65"/>
        <v>0</v>
      </c>
      <c r="L160" s="3" t="str">
        <f t="shared" si="72"/>
        <v>403</v>
      </c>
      <c r="M160" s="3" t="str">
        <f t="shared" si="73"/>
        <v>SOFIA</v>
      </c>
      <c r="N160">
        <f t="shared" si="66"/>
        <v>1</v>
      </c>
      <c r="P160">
        <f t="shared" si="67"/>
        <v>403</v>
      </c>
      <c r="Q160" t="str">
        <f t="shared" si="78"/>
        <v/>
      </c>
      <c r="R160" t="str">
        <f t="shared" si="78"/>
        <v/>
      </c>
      <c r="S160" t="str">
        <f t="shared" si="78"/>
        <v/>
      </c>
      <c r="T160" t="str">
        <f t="shared" si="78"/>
        <v/>
      </c>
      <c r="U160" t="str">
        <f t="shared" si="78"/>
        <v/>
      </c>
      <c r="V160" t="str">
        <f t="shared" si="78"/>
        <v/>
      </c>
      <c r="Z160" t="str">
        <f t="shared" si="68"/>
        <v>SOFIA</v>
      </c>
      <c r="AA160" t="str">
        <f t="shared" si="79"/>
        <v/>
      </c>
      <c r="AB160" t="str">
        <f t="shared" si="79"/>
        <v/>
      </c>
      <c r="AC160" t="str">
        <f t="shared" si="79"/>
        <v/>
      </c>
      <c r="AD160" t="str">
        <f t="shared" si="79"/>
        <v/>
      </c>
      <c r="AE160" t="str">
        <f t="shared" si="79"/>
        <v/>
      </c>
      <c r="AF160" t="str">
        <f t="shared" si="79"/>
        <v/>
      </c>
      <c r="AV160">
        <v>159</v>
      </c>
      <c r="BM160">
        <v>159</v>
      </c>
      <c r="BO160">
        <f t="shared" si="69"/>
        <v>0</v>
      </c>
      <c r="BP160" t="b">
        <f t="shared" si="80"/>
        <v>1</v>
      </c>
    </row>
    <row r="161" spans="1:68">
      <c r="A161">
        <v>160</v>
      </c>
      <c r="B161" t="s">
        <v>373</v>
      </c>
      <c r="C161" s="1">
        <v>2035591129</v>
      </c>
      <c r="D161" t="s">
        <v>280</v>
      </c>
      <c r="E161">
        <f>COUNTIF($C$1:C161,C161)</f>
        <v>3</v>
      </c>
      <c r="F161" t="str">
        <f t="shared" si="62"/>
        <v>20355911293</v>
      </c>
      <c r="G161">
        <f t="shared" si="63"/>
        <v>0</v>
      </c>
      <c r="H161">
        <f t="shared" si="71"/>
        <v>1</v>
      </c>
      <c r="I161" s="4">
        <v>8453066909</v>
      </c>
      <c r="J161" s="5">
        <f t="shared" si="64"/>
        <v>1</v>
      </c>
      <c r="K161" s="5">
        <f t="shared" si="65"/>
        <v>0</v>
      </c>
      <c r="L161" s="5" t="str">
        <f t="shared" si="72"/>
        <v>407</v>
      </c>
      <c r="M161" s="5" t="str">
        <f t="shared" si="73"/>
        <v>Marcelo Simão</v>
      </c>
      <c r="N161">
        <f t="shared" si="66"/>
        <v>1</v>
      </c>
      <c r="P161">
        <f t="shared" si="67"/>
        <v>407</v>
      </c>
      <c r="Q161" t="str">
        <f t="shared" si="78"/>
        <v/>
      </c>
      <c r="R161" t="str">
        <f t="shared" si="78"/>
        <v/>
      </c>
      <c r="S161" t="str">
        <f t="shared" si="78"/>
        <v/>
      </c>
      <c r="T161" t="str">
        <f t="shared" si="78"/>
        <v/>
      </c>
      <c r="U161" t="str">
        <f t="shared" si="78"/>
        <v/>
      </c>
      <c r="V161" t="str">
        <f t="shared" si="78"/>
        <v/>
      </c>
      <c r="Z161" t="str">
        <f t="shared" si="68"/>
        <v>Marcelo Simão</v>
      </c>
      <c r="AA161" t="str">
        <f t="shared" si="79"/>
        <v/>
      </c>
      <c r="AB161" t="str">
        <f t="shared" si="79"/>
        <v/>
      </c>
      <c r="AC161" t="str">
        <f t="shared" si="79"/>
        <v/>
      </c>
      <c r="AD161" t="str">
        <f t="shared" si="79"/>
        <v/>
      </c>
      <c r="AE161" t="str">
        <f t="shared" si="79"/>
        <v/>
      </c>
      <c r="AF161" t="str">
        <f t="shared" si="79"/>
        <v/>
      </c>
      <c r="AV161">
        <v>160</v>
      </c>
      <c r="AW161" t="s">
        <v>123</v>
      </c>
      <c r="BM161">
        <v>160</v>
      </c>
      <c r="BN161" t="s">
        <v>123</v>
      </c>
      <c r="BO161" t="str">
        <f t="shared" si="69"/>
        <v>Fernando Carvalho (f)</v>
      </c>
      <c r="BP161" t="b">
        <f t="shared" si="80"/>
        <v>0</v>
      </c>
    </row>
    <row r="162" spans="1:68">
      <c r="A162">
        <v>161</v>
      </c>
      <c r="B162" t="s">
        <v>121</v>
      </c>
      <c r="C162" s="1">
        <v>5511961917900</v>
      </c>
      <c r="D162" t="s">
        <v>280</v>
      </c>
      <c r="E162">
        <f>COUNTIF($C$1:C162,C162)</f>
        <v>2</v>
      </c>
      <c r="F162" t="str">
        <f t="shared" si="62"/>
        <v>55119619179002</v>
      </c>
      <c r="G162">
        <f t="shared" si="63"/>
        <v>0</v>
      </c>
      <c r="H162">
        <f t="shared" si="71"/>
        <v>0</v>
      </c>
      <c r="I162" s="2">
        <v>2036825960</v>
      </c>
      <c r="J162" s="3">
        <f t="shared" ref="J162:J193" si="81">COUNTIF(C:C,I162)</f>
        <v>1</v>
      </c>
      <c r="K162" s="3">
        <f t="shared" ref="K162:K171" si="82">COUNTIFS(C:C,I162,G:G,1)+COUNTIFS(C:C,I162,H:H,1)</f>
        <v>1</v>
      </c>
      <c r="L162" s="3" t="str">
        <f t="shared" si="72"/>
        <v>414</v>
      </c>
      <c r="M162" s="3" t="str">
        <f t="shared" si="73"/>
        <v>CESINHA pg</v>
      </c>
      <c r="N162">
        <f t="shared" ref="N162:N171" si="83">J162-K162</f>
        <v>0</v>
      </c>
      <c r="P162">
        <f t="shared" ref="P162:P171" si="84">IFERROR(INDEX($A$2:$A$501,MATCH($I162&amp;P$1,$F$2:$F$501,0)),"")</f>
        <v>414</v>
      </c>
      <c r="Q162" t="str">
        <f t="shared" ref="Q162:V171" si="85">IFERROR(", "&amp;INDEX($A$2:$A$501,MATCH($I162&amp;Q$1,$F$2:$F$501,0)),"")</f>
        <v/>
      </c>
      <c r="R162" t="str">
        <f t="shared" si="85"/>
        <v/>
      </c>
      <c r="S162" t="str">
        <f t="shared" si="85"/>
        <v/>
      </c>
      <c r="T162" t="str">
        <f t="shared" si="85"/>
        <v/>
      </c>
      <c r="U162" t="str">
        <f t="shared" si="85"/>
        <v/>
      </c>
      <c r="V162" t="str">
        <f t="shared" si="85"/>
        <v/>
      </c>
      <c r="Z162" t="str">
        <f t="shared" ref="Z162:Z171" si="86">IFERROR(INDEX($B$2:$B$501,MATCH($I162&amp;Z$1,$F$2:$F$501,0)),"")</f>
        <v>CESINHA pg</v>
      </c>
      <c r="AA162" t="str">
        <f t="shared" ref="AA162:AF171" si="87">IFERROR(" ,"&amp;INDEX($B$2:$B$501,MATCH($I162&amp;AA$1,$F$2:$F$501,0)),"")</f>
        <v/>
      </c>
      <c r="AB162" t="str">
        <f t="shared" si="87"/>
        <v/>
      </c>
      <c r="AC162" t="str">
        <f t="shared" si="87"/>
        <v/>
      </c>
      <c r="AD162" t="str">
        <f t="shared" si="87"/>
        <v/>
      </c>
      <c r="AE162" t="str">
        <f t="shared" si="87"/>
        <v/>
      </c>
      <c r="AF162" t="str">
        <f t="shared" si="87"/>
        <v/>
      </c>
      <c r="AV162">
        <v>161</v>
      </c>
      <c r="AW162" t="s">
        <v>121</v>
      </c>
      <c r="BM162">
        <v>161</v>
      </c>
      <c r="BN162" t="s">
        <v>121</v>
      </c>
      <c r="BO162" t="str">
        <f t="shared" si="69"/>
        <v>KARLA</v>
      </c>
      <c r="BP162" t="b">
        <f t="shared" si="80"/>
        <v>1</v>
      </c>
    </row>
    <row r="163" spans="1:68">
      <c r="A163">
        <v>162</v>
      </c>
      <c r="B163" t="s">
        <v>124</v>
      </c>
      <c r="C163" s="1">
        <v>9144269391</v>
      </c>
      <c r="D163" t="s">
        <v>280</v>
      </c>
      <c r="E163">
        <f>COUNTIF($C$1:C163,C163)</f>
        <v>1</v>
      </c>
      <c r="F163" t="str">
        <f t="shared" si="62"/>
        <v>91442693911</v>
      </c>
      <c r="G163">
        <f t="shared" si="63"/>
        <v>0</v>
      </c>
      <c r="H163">
        <f t="shared" si="71"/>
        <v>0</v>
      </c>
      <c r="I163" s="4">
        <v>9145654492</v>
      </c>
      <c r="J163" s="5">
        <f t="shared" si="81"/>
        <v>1</v>
      </c>
      <c r="K163" s="5">
        <f t="shared" si="82"/>
        <v>0</v>
      </c>
      <c r="L163" s="5" t="str">
        <f t="shared" si="72"/>
        <v>422</v>
      </c>
      <c r="M163" s="5" t="str">
        <f t="shared" si="73"/>
        <v>Thiago /valesca</v>
      </c>
      <c r="N163">
        <f t="shared" si="83"/>
        <v>1</v>
      </c>
      <c r="P163">
        <f t="shared" si="84"/>
        <v>422</v>
      </c>
      <c r="Q163" t="str">
        <f t="shared" si="85"/>
        <v/>
      </c>
      <c r="R163" t="str">
        <f t="shared" si="85"/>
        <v/>
      </c>
      <c r="S163" t="str">
        <f t="shared" si="85"/>
        <v/>
      </c>
      <c r="T163" t="str">
        <f t="shared" si="85"/>
        <v/>
      </c>
      <c r="U163" t="str">
        <f t="shared" si="85"/>
        <v/>
      </c>
      <c r="V163" t="str">
        <f t="shared" si="85"/>
        <v/>
      </c>
      <c r="Z163" t="str">
        <f t="shared" si="86"/>
        <v>Thiago /valesca</v>
      </c>
      <c r="AA163" t="str">
        <f t="shared" si="87"/>
        <v/>
      </c>
      <c r="AB163" t="str">
        <f t="shared" si="87"/>
        <v/>
      </c>
      <c r="AC163" t="str">
        <f t="shared" si="87"/>
        <v/>
      </c>
      <c r="AD163" t="str">
        <f t="shared" si="87"/>
        <v/>
      </c>
      <c r="AE163" t="str">
        <f t="shared" si="87"/>
        <v/>
      </c>
      <c r="AF163" t="str">
        <f t="shared" si="87"/>
        <v/>
      </c>
      <c r="AV163">
        <v>162</v>
      </c>
      <c r="AW163" t="s">
        <v>124</v>
      </c>
      <c r="BM163">
        <v>162</v>
      </c>
      <c r="BN163" t="s">
        <v>124</v>
      </c>
      <c r="BO163" t="str">
        <f t="shared" si="69"/>
        <v>Wellington Santana</v>
      </c>
      <c r="BP163" t="b">
        <f t="shared" si="80"/>
        <v>1</v>
      </c>
    </row>
    <row r="164" spans="1:68">
      <c r="A164">
        <v>163</v>
      </c>
      <c r="B164" t="s">
        <v>303</v>
      </c>
      <c r="C164" s="1">
        <v>4754194333</v>
      </c>
      <c r="D164" t="s">
        <v>280</v>
      </c>
      <c r="E164">
        <f>COUNTIF($C$1:C164,C164)</f>
        <v>1</v>
      </c>
      <c r="F164" t="str">
        <f t="shared" si="62"/>
        <v>47541943331</v>
      </c>
      <c r="G164">
        <f t="shared" si="63"/>
        <v>1</v>
      </c>
      <c r="H164">
        <f t="shared" si="71"/>
        <v>0</v>
      </c>
      <c r="I164" s="2">
        <v>9144061023</v>
      </c>
      <c r="J164" s="3">
        <f t="shared" si="81"/>
        <v>1</v>
      </c>
      <c r="K164" s="3">
        <f t="shared" si="82"/>
        <v>0</v>
      </c>
      <c r="L164" s="3" t="str">
        <f t="shared" si="72"/>
        <v>425</v>
      </c>
      <c r="M164" s="3" t="str">
        <f t="shared" si="73"/>
        <v>Neima Paulino</v>
      </c>
      <c r="N164">
        <f t="shared" si="83"/>
        <v>1</v>
      </c>
      <c r="P164">
        <f t="shared" si="84"/>
        <v>425</v>
      </c>
      <c r="Q164" t="str">
        <f t="shared" si="85"/>
        <v/>
      </c>
      <c r="R164" t="str">
        <f t="shared" si="85"/>
        <v/>
      </c>
      <c r="S164" t="str">
        <f t="shared" si="85"/>
        <v/>
      </c>
      <c r="T164" t="str">
        <f t="shared" si="85"/>
        <v/>
      </c>
      <c r="U164" t="str">
        <f t="shared" si="85"/>
        <v/>
      </c>
      <c r="V164" t="str">
        <f t="shared" si="85"/>
        <v/>
      </c>
      <c r="Z164" t="str">
        <f t="shared" si="86"/>
        <v>Neima Paulino</v>
      </c>
      <c r="AA164" t="str">
        <f t="shared" si="87"/>
        <v/>
      </c>
      <c r="AB164" t="str">
        <f t="shared" si="87"/>
        <v/>
      </c>
      <c r="AC164" t="str">
        <f t="shared" si="87"/>
        <v/>
      </c>
      <c r="AD164" t="str">
        <f t="shared" si="87"/>
        <v/>
      </c>
      <c r="AE164" t="str">
        <f t="shared" si="87"/>
        <v/>
      </c>
      <c r="AF164" t="str">
        <f t="shared" si="87"/>
        <v/>
      </c>
      <c r="AV164">
        <v>163</v>
      </c>
      <c r="AW164" t="s">
        <v>125</v>
      </c>
      <c r="BM164">
        <v>163</v>
      </c>
      <c r="BN164" t="s">
        <v>125</v>
      </c>
      <c r="BO164" t="str">
        <f t="shared" si="69"/>
        <v>FABIO BORCA K pg</v>
      </c>
      <c r="BP164" t="b">
        <v>1</v>
      </c>
    </row>
    <row r="165" spans="1:68">
      <c r="A165">
        <v>164</v>
      </c>
      <c r="B165" t="s">
        <v>126</v>
      </c>
      <c r="C165" s="1">
        <v>9145620301</v>
      </c>
      <c r="D165" t="s">
        <v>280</v>
      </c>
      <c r="E165">
        <f>COUNTIF($C$1:C165,C165)</f>
        <v>1</v>
      </c>
      <c r="F165" t="str">
        <f t="shared" si="62"/>
        <v>91456203011</v>
      </c>
      <c r="G165">
        <f t="shared" si="63"/>
        <v>0</v>
      </c>
      <c r="H165">
        <f t="shared" si="71"/>
        <v>0</v>
      </c>
      <c r="I165" s="4">
        <v>9145226788</v>
      </c>
      <c r="J165" s="5">
        <f t="shared" si="81"/>
        <v>1</v>
      </c>
      <c r="K165" s="5">
        <f t="shared" si="82"/>
        <v>1</v>
      </c>
      <c r="L165" s="5" t="str">
        <f t="shared" si="72"/>
        <v>432</v>
      </c>
      <c r="M165" s="5" t="str">
        <f t="shared" si="73"/>
        <v>Leandro / Dione pg</v>
      </c>
      <c r="N165">
        <f t="shared" si="83"/>
        <v>0</v>
      </c>
      <c r="P165">
        <f t="shared" si="84"/>
        <v>432</v>
      </c>
      <c r="Q165" t="str">
        <f t="shared" si="85"/>
        <v/>
      </c>
      <c r="R165" t="str">
        <f t="shared" si="85"/>
        <v/>
      </c>
      <c r="S165" t="str">
        <f t="shared" si="85"/>
        <v/>
      </c>
      <c r="T165" t="str">
        <f t="shared" si="85"/>
        <v/>
      </c>
      <c r="U165" t="str">
        <f t="shared" si="85"/>
        <v/>
      </c>
      <c r="V165" t="str">
        <f t="shared" si="85"/>
        <v/>
      </c>
      <c r="Z165" t="str">
        <f t="shared" si="86"/>
        <v>Leandro / Dione pg</v>
      </c>
      <c r="AA165" t="str">
        <f t="shared" si="87"/>
        <v/>
      </c>
      <c r="AB165" t="str">
        <f t="shared" si="87"/>
        <v/>
      </c>
      <c r="AC165" t="str">
        <f t="shared" si="87"/>
        <v/>
      </c>
      <c r="AD165" t="str">
        <f t="shared" si="87"/>
        <v/>
      </c>
      <c r="AE165" t="str">
        <f t="shared" si="87"/>
        <v/>
      </c>
      <c r="AF165" t="str">
        <f t="shared" si="87"/>
        <v/>
      </c>
      <c r="AV165">
        <v>164</v>
      </c>
      <c r="AW165" t="s">
        <v>126</v>
      </c>
      <c r="BM165">
        <v>164</v>
      </c>
      <c r="BN165" t="s">
        <v>126</v>
      </c>
      <c r="BO165" t="str">
        <f t="shared" si="69"/>
        <v>Júnior faca</v>
      </c>
      <c r="BP165" t="b">
        <f t="shared" ref="BP165:BP179" si="88">BO165=BN165</f>
        <v>1</v>
      </c>
    </row>
    <row r="166" spans="1:68">
      <c r="A166">
        <v>165</v>
      </c>
      <c r="B166" t="s">
        <v>126</v>
      </c>
      <c r="C166" s="1">
        <v>9145620301</v>
      </c>
      <c r="D166" t="s">
        <v>280</v>
      </c>
      <c r="E166">
        <f>COUNTIF($C$1:C166,C166)</f>
        <v>2</v>
      </c>
      <c r="F166" t="str">
        <f t="shared" si="62"/>
        <v>91456203012</v>
      </c>
      <c r="G166">
        <f t="shared" si="63"/>
        <v>0</v>
      </c>
      <c r="H166">
        <f t="shared" si="71"/>
        <v>0</v>
      </c>
      <c r="I166" s="2">
        <v>2032283876</v>
      </c>
      <c r="J166" s="3">
        <f t="shared" si="81"/>
        <v>1</v>
      </c>
      <c r="K166" s="3">
        <f t="shared" si="82"/>
        <v>1</v>
      </c>
      <c r="L166" s="3" t="str">
        <f t="shared" si="72"/>
        <v>475</v>
      </c>
      <c r="M166" s="3" t="str">
        <f t="shared" si="73"/>
        <v>Junior cabra bom pg</v>
      </c>
      <c r="N166">
        <f t="shared" si="83"/>
        <v>0</v>
      </c>
      <c r="P166">
        <f t="shared" si="84"/>
        <v>475</v>
      </c>
      <c r="Q166" t="str">
        <f t="shared" si="85"/>
        <v/>
      </c>
      <c r="R166" t="str">
        <f t="shared" si="85"/>
        <v/>
      </c>
      <c r="S166" t="str">
        <f t="shared" si="85"/>
        <v/>
      </c>
      <c r="T166" t="str">
        <f t="shared" si="85"/>
        <v/>
      </c>
      <c r="U166" t="str">
        <f t="shared" si="85"/>
        <v/>
      </c>
      <c r="V166" t="str">
        <f t="shared" si="85"/>
        <v/>
      </c>
      <c r="Z166" t="str">
        <f t="shared" si="86"/>
        <v>Junior cabra bom pg</v>
      </c>
      <c r="AA166" t="str">
        <f t="shared" si="87"/>
        <v/>
      </c>
      <c r="AB166" t="str">
        <f t="shared" si="87"/>
        <v/>
      </c>
      <c r="AC166" t="str">
        <f t="shared" si="87"/>
        <v/>
      </c>
      <c r="AD166" t="str">
        <f t="shared" si="87"/>
        <v/>
      </c>
      <c r="AE166" t="str">
        <f t="shared" si="87"/>
        <v/>
      </c>
      <c r="AF166" t="str">
        <f t="shared" si="87"/>
        <v/>
      </c>
      <c r="AV166">
        <v>165</v>
      </c>
      <c r="AW166" t="s">
        <v>126</v>
      </c>
      <c r="BM166">
        <v>165</v>
      </c>
      <c r="BN166" t="s">
        <v>126</v>
      </c>
      <c r="BO166" t="str">
        <f t="shared" si="69"/>
        <v>Júnior faca</v>
      </c>
      <c r="BP166" t="b">
        <f t="shared" si="88"/>
        <v>1</v>
      </c>
    </row>
    <row r="167" spans="1:68">
      <c r="A167">
        <v>166</v>
      </c>
      <c r="B167" t="s">
        <v>374</v>
      </c>
      <c r="C167" s="1">
        <v>9145620301</v>
      </c>
      <c r="D167" t="s">
        <v>280</v>
      </c>
      <c r="E167">
        <f>COUNTIF($C$1:C167,C167)</f>
        <v>3</v>
      </c>
      <c r="F167" t="str">
        <f t="shared" si="62"/>
        <v>91456203013</v>
      </c>
      <c r="G167">
        <f t="shared" si="63"/>
        <v>0</v>
      </c>
      <c r="H167">
        <f t="shared" si="71"/>
        <v>1</v>
      </c>
      <c r="I167" s="4">
        <v>2033216644</v>
      </c>
      <c r="J167" s="5">
        <f t="shared" si="81"/>
        <v>1</v>
      </c>
      <c r="K167" s="5">
        <f t="shared" si="82"/>
        <v>1</v>
      </c>
      <c r="L167" s="5" t="str">
        <f t="shared" si="72"/>
        <v>483</v>
      </c>
      <c r="M167" s="5" t="str">
        <f t="shared" si="73"/>
        <v>Fábio Verizon pg</v>
      </c>
      <c r="N167">
        <f t="shared" si="83"/>
        <v>0</v>
      </c>
      <c r="P167">
        <f t="shared" si="84"/>
        <v>483</v>
      </c>
      <c r="Q167" t="str">
        <f t="shared" si="85"/>
        <v/>
      </c>
      <c r="R167" t="str">
        <f t="shared" si="85"/>
        <v/>
      </c>
      <c r="S167" t="str">
        <f t="shared" si="85"/>
        <v/>
      </c>
      <c r="T167" t="str">
        <f t="shared" si="85"/>
        <v/>
      </c>
      <c r="U167" t="str">
        <f t="shared" si="85"/>
        <v/>
      </c>
      <c r="V167" t="str">
        <f t="shared" si="85"/>
        <v/>
      </c>
      <c r="Z167" t="str">
        <f t="shared" si="86"/>
        <v>Fábio Verizon pg</v>
      </c>
      <c r="AA167" t="str">
        <f t="shared" si="87"/>
        <v/>
      </c>
      <c r="AB167" t="str">
        <f t="shared" si="87"/>
        <v/>
      </c>
      <c r="AC167" t="str">
        <f t="shared" si="87"/>
        <v/>
      </c>
      <c r="AD167" t="str">
        <f t="shared" si="87"/>
        <v/>
      </c>
      <c r="AE167" t="str">
        <f t="shared" si="87"/>
        <v/>
      </c>
      <c r="AF167" t="str">
        <f t="shared" si="87"/>
        <v/>
      </c>
      <c r="AV167">
        <v>166</v>
      </c>
      <c r="AW167" t="s">
        <v>127</v>
      </c>
      <c r="BM167">
        <v>166</v>
      </c>
      <c r="BN167" t="s">
        <v>127</v>
      </c>
      <c r="BO167" t="str">
        <f t="shared" si="69"/>
        <v>Júnior faca (f)</v>
      </c>
      <c r="BP167" t="b">
        <f t="shared" si="88"/>
        <v>0</v>
      </c>
    </row>
    <row r="168" spans="1:68">
      <c r="A168">
        <v>167</v>
      </c>
      <c r="B168" t="s">
        <v>128</v>
      </c>
      <c r="C168" s="1">
        <v>2039534887</v>
      </c>
      <c r="D168" t="s">
        <v>280</v>
      </c>
      <c r="E168">
        <f>COUNTIF($C$1:C168,C168)</f>
        <v>2</v>
      </c>
      <c r="F168" t="str">
        <f t="shared" si="62"/>
        <v>20395348872</v>
      </c>
      <c r="G168">
        <f t="shared" ref="G168:G231" si="89">IF(IFERROR(FIND("pg",LOWER(B168)),0)=0,0,1)</f>
        <v>1</v>
      </c>
      <c r="H168">
        <f t="shared" ref="H168:H231" si="90">IF(IFERROR(FIND("(f)",LOWER(B168)),0)=0,0,1)</f>
        <v>0</v>
      </c>
      <c r="I168" s="2"/>
      <c r="J168" s="3"/>
      <c r="K168" s="3"/>
      <c r="L168" s="3"/>
      <c r="M168" s="3"/>
      <c r="P168" t="str">
        <f t="shared" si="84"/>
        <v/>
      </c>
      <c r="Q168" t="str">
        <f t="shared" si="85"/>
        <v/>
      </c>
      <c r="R168" t="str">
        <f t="shared" si="85"/>
        <v/>
      </c>
      <c r="S168" t="str">
        <f t="shared" si="85"/>
        <v/>
      </c>
      <c r="T168" t="str">
        <f t="shared" si="85"/>
        <v/>
      </c>
      <c r="U168" t="str">
        <f t="shared" si="85"/>
        <v/>
      </c>
      <c r="V168" t="str">
        <f t="shared" si="85"/>
        <v/>
      </c>
      <c r="Z168" t="str">
        <f t="shared" si="86"/>
        <v/>
      </c>
      <c r="AA168" t="str">
        <f t="shared" si="87"/>
        <v/>
      </c>
      <c r="AB168" t="str">
        <f t="shared" si="87"/>
        <v/>
      </c>
      <c r="AC168" t="str">
        <f t="shared" si="87"/>
        <v/>
      </c>
      <c r="AD168" t="str">
        <f t="shared" si="87"/>
        <v/>
      </c>
      <c r="AE168" t="str">
        <f t="shared" si="87"/>
        <v/>
      </c>
      <c r="AF168" t="str">
        <f t="shared" si="87"/>
        <v/>
      </c>
      <c r="AV168">
        <v>167</v>
      </c>
      <c r="AW168" t="s">
        <v>128</v>
      </c>
      <c r="BM168">
        <v>167</v>
      </c>
      <c r="BN168" t="s">
        <v>128</v>
      </c>
      <c r="BO168" t="str">
        <f t="shared" si="69"/>
        <v>Two (Allisson)pg</v>
      </c>
      <c r="BP168" t="b">
        <f t="shared" si="88"/>
        <v>1</v>
      </c>
    </row>
    <row r="169" spans="1:68">
      <c r="A169">
        <v>168</v>
      </c>
      <c r="B169" t="s">
        <v>129</v>
      </c>
      <c r="C169" s="1">
        <v>2039819598</v>
      </c>
      <c r="D169" t="s">
        <v>280</v>
      </c>
      <c r="E169">
        <f>COUNTIF($C$1:C169,C169)</f>
        <v>2</v>
      </c>
      <c r="F169" t="str">
        <f t="shared" si="62"/>
        <v>20398195982</v>
      </c>
      <c r="G169">
        <f t="shared" si="89"/>
        <v>1</v>
      </c>
      <c r="H169">
        <f t="shared" si="90"/>
        <v>0</v>
      </c>
      <c r="I169" s="4"/>
      <c r="J169" s="5"/>
      <c r="K169" s="5"/>
      <c r="L169" s="5"/>
      <c r="M169" s="5"/>
      <c r="P169" t="str">
        <f t="shared" si="84"/>
        <v/>
      </c>
      <c r="Q169" t="str">
        <f t="shared" si="85"/>
        <v/>
      </c>
      <c r="R169" t="str">
        <f t="shared" si="85"/>
        <v/>
      </c>
      <c r="S169" t="str">
        <f t="shared" si="85"/>
        <v/>
      </c>
      <c r="T169" t="str">
        <f t="shared" si="85"/>
        <v/>
      </c>
      <c r="U169" t="str">
        <f t="shared" si="85"/>
        <v/>
      </c>
      <c r="V169" t="str">
        <f t="shared" si="85"/>
        <v/>
      </c>
      <c r="Z169" t="str">
        <f t="shared" si="86"/>
        <v/>
      </c>
      <c r="AA169" t="str">
        <f t="shared" si="87"/>
        <v/>
      </c>
      <c r="AB169" t="str">
        <f t="shared" si="87"/>
        <v/>
      </c>
      <c r="AC169" t="str">
        <f t="shared" si="87"/>
        <v/>
      </c>
      <c r="AD169" t="str">
        <f t="shared" si="87"/>
        <v/>
      </c>
      <c r="AE169" t="str">
        <f t="shared" si="87"/>
        <v/>
      </c>
      <c r="AF169" t="str">
        <f t="shared" si="87"/>
        <v/>
      </c>
      <c r="AV169">
        <v>168</v>
      </c>
      <c r="AW169" t="s">
        <v>129</v>
      </c>
      <c r="BM169">
        <v>168</v>
      </c>
      <c r="BN169" t="s">
        <v>129</v>
      </c>
      <c r="BO169" t="str">
        <f t="shared" si="69"/>
        <v>Rodrigo /polly pg</v>
      </c>
      <c r="BP169" t="b">
        <f t="shared" si="88"/>
        <v>1</v>
      </c>
    </row>
    <row r="170" spans="1:68">
      <c r="A170">
        <v>169</v>
      </c>
      <c r="B170" t="s">
        <v>130</v>
      </c>
      <c r="C170" s="1">
        <v>2036105893</v>
      </c>
      <c r="D170" t="s">
        <v>280</v>
      </c>
      <c r="E170">
        <f>COUNTIF($C$1:C170,C170)</f>
        <v>2</v>
      </c>
      <c r="F170" t="str">
        <f t="shared" si="62"/>
        <v>20361058932</v>
      </c>
      <c r="G170">
        <f t="shared" si="89"/>
        <v>0</v>
      </c>
      <c r="H170">
        <f t="shared" si="90"/>
        <v>0</v>
      </c>
      <c r="I170" s="2"/>
      <c r="J170" s="3"/>
      <c r="K170" s="3"/>
      <c r="L170" s="3"/>
      <c r="M170" s="3"/>
      <c r="P170" t="str">
        <f t="shared" si="84"/>
        <v/>
      </c>
      <c r="Q170" t="str">
        <f t="shared" si="85"/>
        <v/>
      </c>
      <c r="R170" t="str">
        <f t="shared" si="85"/>
        <v/>
      </c>
      <c r="S170" t="str">
        <f t="shared" si="85"/>
        <v/>
      </c>
      <c r="T170" t="str">
        <f t="shared" si="85"/>
        <v/>
      </c>
      <c r="U170" t="str">
        <f t="shared" si="85"/>
        <v/>
      </c>
      <c r="V170" t="str">
        <f t="shared" si="85"/>
        <v/>
      </c>
      <c r="Z170" t="str">
        <f t="shared" si="86"/>
        <v/>
      </c>
      <c r="AA170" t="str">
        <f t="shared" si="87"/>
        <v/>
      </c>
      <c r="AB170" t="str">
        <f t="shared" si="87"/>
        <v/>
      </c>
      <c r="AC170" t="str">
        <f t="shared" si="87"/>
        <v/>
      </c>
      <c r="AD170" t="str">
        <f t="shared" si="87"/>
        <v/>
      </c>
      <c r="AE170" t="str">
        <f t="shared" si="87"/>
        <v/>
      </c>
      <c r="AF170" t="str">
        <f t="shared" si="87"/>
        <v/>
      </c>
      <c r="AV170">
        <v>169</v>
      </c>
      <c r="AW170" t="s">
        <v>130</v>
      </c>
      <c r="BM170">
        <v>169</v>
      </c>
      <c r="BN170" t="s">
        <v>130</v>
      </c>
      <c r="BO170" t="str">
        <f t="shared" si="69"/>
        <v>WAGNER DA SILVA</v>
      </c>
      <c r="BP170" t="b">
        <f t="shared" si="88"/>
        <v>1</v>
      </c>
    </row>
    <row r="171" spans="1:68">
      <c r="A171">
        <v>170</v>
      </c>
      <c r="B171" t="s">
        <v>131</v>
      </c>
      <c r="C171" s="1">
        <v>2035360916</v>
      </c>
      <c r="D171" t="s">
        <v>280</v>
      </c>
      <c r="E171">
        <f>COUNTIF($C$1:C171,C171)</f>
        <v>1</v>
      </c>
      <c r="F171" t="str">
        <f t="shared" si="62"/>
        <v>20353609161</v>
      </c>
      <c r="G171">
        <f t="shared" si="89"/>
        <v>0</v>
      </c>
      <c r="H171">
        <f t="shared" si="90"/>
        <v>0</v>
      </c>
      <c r="I171" s="4"/>
      <c r="J171" s="5"/>
      <c r="K171" s="5"/>
      <c r="L171" s="5"/>
      <c r="M171" s="5"/>
      <c r="P171" t="str">
        <f t="shared" si="84"/>
        <v/>
      </c>
      <c r="Q171" t="str">
        <f t="shared" si="85"/>
        <v/>
      </c>
      <c r="R171" t="str">
        <f t="shared" si="85"/>
        <v/>
      </c>
      <c r="S171" t="str">
        <f t="shared" si="85"/>
        <v/>
      </c>
      <c r="T171" t="str">
        <f t="shared" si="85"/>
        <v/>
      </c>
      <c r="U171" t="str">
        <f t="shared" si="85"/>
        <v/>
      </c>
      <c r="V171" t="str">
        <f t="shared" si="85"/>
        <v/>
      </c>
      <c r="Z171" t="str">
        <f t="shared" si="86"/>
        <v/>
      </c>
      <c r="AA171" t="str">
        <f t="shared" si="87"/>
        <v/>
      </c>
      <c r="AB171" t="str">
        <f t="shared" si="87"/>
        <v/>
      </c>
      <c r="AC171" t="str">
        <f t="shared" si="87"/>
        <v/>
      </c>
      <c r="AD171" t="str">
        <f t="shared" si="87"/>
        <v/>
      </c>
      <c r="AE171" t="str">
        <f t="shared" si="87"/>
        <v/>
      </c>
      <c r="AF171" t="str">
        <f t="shared" si="87"/>
        <v/>
      </c>
      <c r="AV171">
        <v>170</v>
      </c>
      <c r="AW171" t="s">
        <v>131</v>
      </c>
      <c r="BM171">
        <v>170</v>
      </c>
      <c r="BN171" t="s">
        <v>131</v>
      </c>
      <c r="BO171" t="str">
        <f t="shared" si="69"/>
        <v>Adalberto Martins</v>
      </c>
      <c r="BP171" t="b">
        <f t="shared" si="88"/>
        <v>1</v>
      </c>
    </row>
    <row r="172" spans="1:68">
      <c r="A172">
        <v>171</v>
      </c>
      <c r="B172" t="s">
        <v>23</v>
      </c>
      <c r="C172" s="1">
        <v>2039943998</v>
      </c>
      <c r="D172" t="s">
        <v>280</v>
      </c>
      <c r="E172">
        <f>COUNTIF($C$1:C172,C172)</f>
        <v>3</v>
      </c>
      <c r="F172" t="str">
        <f t="shared" si="62"/>
        <v>20399439983</v>
      </c>
      <c r="G172">
        <f t="shared" si="89"/>
        <v>0</v>
      </c>
      <c r="H172">
        <f t="shared" si="90"/>
        <v>0</v>
      </c>
      <c r="I172" s="12"/>
      <c r="J172" s="12"/>
      <c r="K172" s="12"/>
      <c r="L172" s="12"/>
      <c r="M172" s="12"/>
      <c r="AV172">
        <v>171</v>
      </c>
      <c r="AW172" t="s">
        <v>23</v>
      </c>
      <c r="BM172">
        <v>171</v>
      </c>
      <c r="BN172" t="s">
        <v>23</v>
      </c>
      <c r="BO172" t="str">
        <f t="shared" si="69"/>
        <v>FERNANDO XARA</v>
      </c>
      <c r="BP172" t="b">
        <f t="shared" si="88"/>
        <v>1</v>
      </c>
    </row>
    <row r="173" spans="1:68">
      <c r="A173">
        <v>172</v>
      </c>
      <c r="B173" t="s">
        <v>353</v>
      </c>
      <c r="C173" s="1">
        <v>4754493737</v>
      </c>
      <c r="D173" t="s">
        <v>280</v>
      </c>
      <c r="E173">
        <f>COUNTIF($C$1:C173,C173)</f>
        <v>1</v>
      </c>
      <c r="F173" t="str">
        <f t="shared" si="62"/>
        <v>47544937371</v>
      </c>
      <c r="G173">
        <f t="shared" si="89"/>
        <v>1</v>
      </c>
      <c r="H173">
        <f t="shared" si="90"/>
        <v>0</v>
      </c>
      <c r="I173" s="12"/>
      <c r="J173" s="12"/>
      <c r="K173" s="12"/>
      <c r="L173" s="12"/>
      <c r="M173" s="12"/>
      <c r="AV173">
        <v>172</v>
      </c>
      <c r="AW173" t="s">
        <v>132</v>
      </c>
      <c r="BM173">
        <v>172</v>
      </c>
      <c r="BN173" t="s">
        <v>132</v>
      </c>
      <c r="BO173" t="str">
        <f t="shared" si="69"/>
        <v>ALAN COSTA pg</v>
      </c>
      <c r="BP173" t="b">
        <f t="shared" si="88"/>
        <v>0</v>
      </c>
    </row>
    <row r="174" spans="1:68">
      <c r="A174">
        <v>173</v>
      </c>
      <c r="E174">
        <f>COUNTIF($C$1:C174,C174)</f>
        <v>0</v>
      </c>
      <c r="F174" t="str">
        <f t="shared" si="62"/>
        <v>0</v>
      </c>
      <c r="G174">
        <f t="shared" si="89"/>
        <v>0</v>
      </c>
      <c r="H174">
        <f t="shared" si="90"/>
        <v>0</v>
      </c>
      <c r="I174"/>
      <c r="AV174">
        <v>173</v>
      </c>
      <c r="BM174">
        <v>173</v>
      </c>
      <c r="BO174">
        <f t="shared" si="69"/>
        <v>0</v>
      </c>
      <c r="BP174" t="b">
        <f t="shared" si="88"/>
        <v>1</v>
      </c>
    </row>
    <row r="175" spans="1:68">
      <c r="A175">
        <v>174</v>
      </c>
      <c r="E175">
        <f>COUNTIF($C$1:C175,C175)</f>
        <v>0</v>
      </c>
      <c r="F175" t="str">
        <f t="shared" si="62"/>
        <v>0</v>
      </c>
      <c r="G175">
        <f t="shared" si="89"/>
        <v>0</v>
      </c>
      <c r="H175">
        <f t="shared" si="90"/>
        <v>0</v>
      </c>
      <c r="I175"/>
      <c r="AV175">
        <v>174</v>
      </c>
      <c r="BM175">
        <v>174</v>
      </c>
      <c r="BO175">
        <f t="shared" si="69"/>
        <v>0</v>
      </c>
      <c r="BP175" t="b">
        <f t="shared" si="88"/>
        <v>1</v>
      </c>
    </row>
    <row r="176" spans="1:68">
      <c r="A176">
        <v>175</v>
      </c>
      <c r="B176" t="s">
        <v>133</v>
      </c>
      <c r="D176" t="s">
        <v>281</v>
      </c>
      <c r="E176">
        <f>COUNTIF($C$1:C176,C176)</f>
        <v>0</v>
      </c>
      <c r="F176" t="str">
        <f t="shared" si="62"/>
        <v>0</v>
      </c>
      <c r="G176">
        <f t="shared" si="89"/>
        <v>1</v>
      </c>
      <c r="H176">
        <f t="shared" si="90"/>
        <v>0</v>
      </c>
      <c r="I176"/>
      <c r="AV176">
        <v>175</v>
      </c>
      <c r="AW176" t="s">
        <v>133</v>
      </c>
      <c r="BM176">
        <v>175</v>
      </c>
      <c r="BN176" t="s">
        <v>133</v>
      </c>
      <c r="BO176" t="str">
        <f t="shared" si="69"/>
        <v>Thiago / Dani pg</v>
      </c>
      <c r="BP176" t="b">
        <f t="shared" si="88"/>
        <v>1</v>
      </c>
    </row>
    <row r="177" spans="1:68">
      <c r="A177">
        <v>176</v>
      </c>
      <c r="E177">
        <f>COUNTIF($C$1:C177,C177)</f>
        <v>0</v>
      </c>
      <c r="F177" t="str">
        <f t="shared" si="62"/>
        <v>0</v>
      </c>
      <c r="G177">
        <f t="shared" si="89"/>
        <v>0</v>
      </c>
      <c r="H177">
        <f t="shared" si="90"/>
        <v>0</v>
      </c>
      <c r="I177"/>
      <c r="AV177">
        <v>176</v>
      </c>
      <c r="BM177">
        <v>176</v>
      </c>
      <c r="BO177">
        <f t="shared" si="69"/>
        <v>0</v>
      </c>
      <c r="BP177" t="b">
        <f t="shared" si="88"/>
        <v>1</v>
      </c>
    </row>
    <row r="178" spans="1:68">
      <c r="A178">
        <v>177</v>
      </c>
      <c r="B178" t="s">
        <v>95</v>
      </c>
      <c r="C178" s="1">
        <v>2035218381</v>
      </c>
      <c r="D178" t="s">
        <v>280</v>
      </c>
      <c r="E178">
        <f>COUNTIF($C$1:C178,C178)</f>
        <v>2</v>
      </c>
      <c r="F178" t="str">
        <f t="shared" si="62"/>
        <v>20352183812</v>
      </c>
      <c r="G178">
        <f t="shared" si="89"/>
        <v>1</v>
      </c>
      <c r="H178">
        <f t="shared" si="90"/>
        <v>0</v>
      </c>
      <c r="I178" s="12"/>
      <c r="J178" s="12"/>
      <c r="K178" s="12"/>
      <c r="L178" s="12"/>
      <c r="M178" s="12"/>
      <c r="AV178">
        <v>177</v>
      </c>
      <c r="AW178" t="s">
        <v>95</v>
      </c>
      <c r="BM178">
        <v>177</v>
      </c>
      <c r="BN178" t="s">
        <v>95</v>
      </c>
      <c r="BO178" t="str">
        <f t="shared" si="69"/>
        <v>Gilmar Schmidt pg</v>
      </c>
      <c r="BP178" t="b">
        <f t="shared" si="88"/>
        <v>1</v>
      </c>
    </row>
    <row r="179" spans="1:68">
      <c r="A179">
        <v>178</v>
      </c>
      <c r="B179" t="s">
        <v>95</v>
      </c>
      <c r="C179" s="1">
        <v>2035218381</v>
      </c>
      <c r="D179" t="s">
        <v>280</v>
      </c>
      <c r="E179">
        <f>COUNTIF($C$1:C179,C179)</f>
        <v>3</v>
      </c>
      <c r="F179" t="str">
        <f t="shared" si="62"/>
        <v>20352183813</v>
      </c>
      <c r="G179">
        <f t="shared" si="89"/>
        <v>1</v>
      </c>
      <c r="H179">
        <f t="shared" si="90"/>
        <v>0</v>
      </c>
      <c r="I179" s="12"/>
      <c r="J179" s="12"/>
      <c r="K179" s="12"/>
      <c r="L179" s="12"/>
      <c r="M179" s="12"/>
      <c r="AV179">
        <v>178</v>
      </c>
      <c r="AW179" t="s">
        <v>95</v>
      </c>
      <c r="BM179">
        <v>178</v>
      </c>
      <c r="BN179" t="s">
        <v>95</v>
      </c>
      <c r="BO179" t="str">
        <f t="shared" si="69"/>
        <v>Gilmar Schmidt pg</v>
      </c>
      <c r="BP179" t="b">
        <f t="shared" si="88"/>
        <v>1</v>
      </c>
    </row>
    <row r="180" spans="1:68">
      <c r="A180">
        <v>179</v>
      </c>
      <c r="B180" t="s">
        <v>306</v>
      </c>
      <c r="C180" s="1">
        <v>4754496806</v>
      </c>
      <c r="D180" t="s">
        <v>280</v>
      </c>
      <c r="E180">
        <f>COUNTIF($C$1:C180,C180)</f>
        <v>1</v>
      </c>
      <c r="F180" t="str">
        <f t="shared" si="62"/>
        <v>47544968061</v>
      </c>
      <c r="G180">
        <f t="shared" si="89"/>
        <v>1</v>
      </c>
      <c r="H180">
        <f t="shared" si="90"/>
        <v>0</v>
      </c>
      <c r="I180"/>
      <c r="AV180">
        <v>179</v>
      </c>
      <c r="AW180" t="s">
        <v>134</v>
      </c>
      <c r="BM180">
        <v>179</v>
      </c>
      <c r="BN180" t="s">
        <v>134</v>
      </c>
      <c r="BO180" t="str">
        <f t="shared" si="69"/>
        <v>SIMARA show car pg</v>
      </c>
      <c r="BP180" t="b">
        <v>1</v>
      </c>
    </row>
    <row r="181" spans="1:68">
      <c r="A181">
        <v>180</v>
      </c>
      <c r="B181" t="s">
        <v>135</v>
      </c>
      <c r="C181" s="1">
        <v>2035406751</v>
      </c>
      <c r="D181" t="s">
        <v>280</v>
      </c>
      <c r="E181">
        <f>COUNTIF($C$1:C181,C181)</f>
        <v>1</v>
      </c>
      <c r="F181" t="str">
        <f t="shared" si="62"/>
        <v>20354067511</v>
      </c>
      <c r="G181">
        <f t="shared" si="89"/>
        <v>1</v>
      </c>
      <c r="H181">
        <f t="shared" si="90"/>
        <v>0</v>
      </c>
      <c r="I181" s="12"/>
      <c r="J181" s="12"/>
      <c r="K181" s="12"/>
      <c r="L181" s="12"/>
      <c r="M181" s="12"/>
      <c r="AV181">
        <v>180</v>
      </c>
      <c r="AW181" t="s">
        <v>135</v>
      </c>
      <c r="BM181">
        <v>180</v>
      </c>
      <c r="BN181" t="s">
        <v>135</v>
      </c>
      <c r="BO181" t="str">
        <f t="shared" si="69"/>
        <v>Bola de fogo pg</v>
      </c>
      <c r="BP181" t="b">
        <f>BO181=BN181</f>
        <v>1</v>
      </c>
    </row>
    <row r="182" spans="1:68">
      <c r="A182">
        <v>181</v>
      </c>
      <c r="B182" t="s">
        <v>71</v>
      </c>
      <c r="C182" s="1">
        <v>2034285344</v>
      </c>
      <c r="D182" t="s">
        <v>280</v>
      </c>
      <c r="E182">
        <f>COUNTIF($C$1:C182,C182)</f>
        <v>2</v>
      </c>
      <c r="F182" t="str">
        <f t="shared" si="62"/>
        <v>20342853442</v>
      </c>
      <c r="G182">
        <f t="shared" si="89"/>
        <v>0</v>
      </c>
      <c r="H182">
        <f t="shared" si="90"/>
        <v>0</v>
      </c>
      <c r="I182" s="12"/>
      <c r="J182" s="12"/>
      <c r="K182" s="12"/>
      <c r="L182" s="12"/>
      <c r="M182" s="12"/>
      <c r="AV182">
        <v>181</v>
      </c>
      <c r="AW182" t="s">
        <v>71</v>
      </c>
      <c r="BM182">
        <v>181</v>
      </c>
      <c r="BN182" t="s">
        <v>71</v>
      </c>
      <c r="BO182" t="str">
        <f t="shared" si="69"/>
        <v>BINHO</v>
      </c>
      <c r="BP182" t="b">
        <f>BO182=BN182</f>
        <v>1</v>
      </c>
    </row>
    <row r="183" spans="1:68">
      <c r="A183">
        <v>182</v>
      </c>
      <c r="B183" t="s">
        <v>309</v>
      </c>
      <c r="C183" s="1">
        <v>2034494860</v>
      </c>
      <c r="D183" t="s">
        <v>280</v>
      </c>
      <c r="E183">
        <f>COUNTIF($C$1:C183,C183)</f>
        <v>1</v>
      </c>
      <c r="F183" t="str">
        <f t="shared" si="62"/>
        <v>20344948601</v>
      </c>
      <c r="G183">
        <f t="shared" si="89"/>
        <v>1</v>
      </c>
      <c r="H183">
        <f t="shared" si="90"/>
        <v>0</v>
      </c>
      <c r="I183"/>
      <c r="AV183">
        <v>182</v>
      </c>
      <c r="AW183" t="s">
        <v>136</v>
      </c>
      <c r="BM183">
        <v>182</v>
      </c>
      <c r="BN183" t="s">
        <v>136</v>
      </c>
      <c r="BO183" t="str">
        <f t="shared" si="69"/>
        <v>SARMENTO pg</v>
      </c>
      <c r="BP183" t="b">
        <v>1</v>
      </c>
    </row>
    <row r="184" spans="1:68">
      <c r="A184">
        <v>183</v>
      </c>
      <c r="E184">
        <f>COUNTIF($C$1:C184,C184)</f>
        <v>0</v>
      </c>
      <c r="F184" t="str">
        <f t="shared" si="62"/>
        <v>0</v>
      </c>
      <c r="G184">
        <f t="shared" si="89"/>
        <v>0</v>
      </c>
      <c r="H184">
        <f t="shared" si="90"/>
        <v>0</v>
      </c>
      <c r="I184"/>
      <c r="AV184">
        <v>183</v>
      </c>
      <c r="BM184">
        <v>183</v>
      </c>
      <c r="BO184">
        <f t="shared" si="69"/>
        <v>0</v>
      </c>
      <c r="BP184" t="b">
        <f t="shared" ref="BP184:BP193" si="91">BO184=BN184</f>
        <v>1</v>
      </c>
    </row>
    <row r="185" spans="1:68">
      <c r="A185">
        <v>184</v>
      </c>
      <c r="E185">
        <f>COUNTIF($C$1:C185,C185)</f>
        <v>0</v>
      </c>
      <c r="F185" t="str">
        <f t="shared" si="62"/>
        <v>0</v>
      </c>
      <c r="G185">
        <f t="shared" si="89"/>
        <v>0</v>
      </c>
      <c r="H185">
        <f t="shared" si="90"/>
        <v>0</v>
      </c>
      <c r="I185"/>
      <c r="AV185">
        <v>184</v>
      </c>
      <c r="BM185">
        <v>184</v>
      </c>
      <c r="BO185">
        <f t="shared" si="69"/>
        <v>0</v>
      </c>
      <c r="BP185" t="b">
        <f t="shared" si="91"/>
        <v>1</v>
      </c>
    </row>
    <row r="186" spans="1:68">
      <c r="A186">
        <v>185</v>
      </c>
      <c r="B186" t="s">
        <v>137</v>
      </c>
      <c r="C186" s="1">
        <v>6465429753</v>
      </c>
      <c r="D186" t="s">
        <v>280</v>
      </c>
      <c r="E186">
        <f>COUNTIF($C$1:C186,C186)</f>
        <v>1</v>
      </c>
      <c r="F186" t="str">
        <f t="shared" si="62"/>
        <v>64654297531</v>
      </c>
      <c r="G186">
        <f t="shared" si="89"/>
        <v>1</v>
      </c>
      <c r="H186">
        <f t="shared" si="90"/>
        <v>0</v>
      </c>
      <c r="I186" s="12"/>
      <c r="J186" s="12"/>
      <c r="K186" s="12"/>
      <c r="L186" s="12"/>
      <c r="M186" s="12"/>
      <c r="AV186">
        <v>185</v>
      </c>
      <c r="AW186" t="s">
        <v>137</v>
      </c>
      <c r="BM186">
        <v>185</v>
      </c>
      <c r="BN186" t="s">
        <v>137</v>
      </c>
      <c r="BO186" t="str">
        <f t="shared" si="69"/>
        <v>DENILSON pg</v>
      </c>
      <c r="BP186" t="b">
        <f t="shared" si="91"/>
        <v>1</v>
      </c>
    </row>
    <row r="187" spans="1:68">
      <c r="A187">
        <v>186</v>
      </c>
      <c r="E187">
        <f>COUNTIF($C$1:C187,C187)</f>
        <v>0</v>
      </c>
      <c r="F187" t="str">
        <f t="shared" si="62"/>
        <v>0</v>
      </c>
      <c r="G187">
        <f t="shared" si="89"/>
        <v>0</v>
      </c>
      <c r="H187">
        <f t="shared" si="90"/>
        <v>0</v>
      </c>
      <c r="I187"/>
      <c r="AV187">
        <v>186</v>
      </c>
      <c r="BM187">
        <v>186</v>
      </c>
      <c r="BO187">
        <f t="shared" si="69"/>
        <v>0</v>
      </c>
      <c r="BP187" t="b">
        <f t="shared" si="91"/>
        <v>1</v>
      </c>
    </row>
    <row r="188" spans="1:68">
      <c r="A188">
        <v>187</v>
      </c>
      <c r="B188" t="s">
        <v>138</v>
      </c>
      <c r="C188" s="1">
        <v>9142306486</v>
      </c>
      <c r="D188" t="s">
        <v>280</v>
      </c>
      <c r="E188">
        <f>COUNTIF($C$1:C188,C188)</f>
        <v>1</v>
      </c>
      <c r="F188" t="str">
        <f t="shared" si="62"/>
        <v>91423064861</v>
      </c>
      <c r="G188">
        <f t="shared" si="89"/>
        <v>0</v>
      </c>
      <c r="H188">
        <f t="shared" si="90"/>
        <v>0</v>
      </c>
      <c r="I188"/>
      <c r="AV188">
        <v>187</v>
      </c>
      <c r="AW188" t="s">
        <v>138</v>
      </c>
      <c r="BM188">
        <v>187</v>
      </c>
      <c r="BN188" t="s">
        <v>138</v>
      </c>
      <c r="BO188" t="str">
        <f t="shared" si="69"/>
        <v>JEFERSON</v>
      </c>
      <c r="BP188" t="b">
        <f t="shared" si="91"/>
        <v>1</v>
      </c>
    </row>
    <row r="189" spans="1:68">
      <c r="A189">
        <v>188</v>
      </c>
      <c r="E189">
        <f>COUNTIF($C$1:C189,C189)</f>
        <v>0</v>
      </c>
      <c r="F189" t="str">
        <f t="shared" si="62"/>
        <v>0</v>
      </c>
      <c r="G189">
        <f t="shared" si="89"/>
        <v>0</v>
      </c>
      <c r="H189">
        <f t="shared" si="90"/>
        <v>0</v>
      </c>
      <c r="I189"/>
      <c r="AV189">
        <v>188</v>
      </c>
      <c r="BM189">
        <v>188</v>
      </c>
      <c r="BO189">
        <f t="shared" si="69"/>
        <v>0</v>
      </c>
      <c r="BP189" t="b">
        <f t="shared" si="91"/>
        <v>1</v>
      </c>
    </row>
    <row r="190" spans="1:68">
      <c r="A190">
        <v>189</v>
      </c>
      <c r="E190">
        <f>COUNTIF($C$1:C190,C190)</f>
        <v>0</v>
      </c>
      <c r="F190" t="str">
        <f t="shared" si="62"/>
        <v>0</v>
      </c>
      <c r="G190">
        <f t="shared" si="89"/>
        <v>0</v>
      </c>
      <c r="H190">
        <f t="shared" si="90"/>
        <v>0</v>
      </c>
      <c r="I190"/>
      <c r="AV190">
        <v>189</v>
      </c>
      <c r="BM190">
        <v>189</v>
      </c>
      <c r="BO190">
        <f t="shared" si="69"/>
        <v>0</v>
      </c>
      <c r="BP190" t="b">
        <f t="shared" si="91"/>
        <v>1</v>
      </c>
    </row>
    <row r="191" spans="1:68">
      <c r="A191">
        <v>190</v>
      </c>
      <c r="B191" t="s">
        <v>139</v>
      </c>
      <c r="D191" t="s">
        <v>281</v>
      </c>
      <c r="E191">
        <f>COUNTIF($C$1:C191,C191)</f>
        <v>0</v>
      </c>
      <c r="F191" t="str">
        <f t="shared" si="62"/>
        <v>0</v>
      </c>
      <c r="G191">
        <f t="shared" si="89"/>
        <v>0</v>
      </c>
      <c r="H191">
        <f t="shared" si="90"/>
        <v>0</v>
      </c>
      <c r="I191" s="12"/>
      <c r="J191" s="12"/>
      <c r="K191" s="12"/>
      <c r="L191" s="12"/>
      <c r="M191" s="12"/>
      <c r="AV191">
        <v>190</v>
      </c>
      <c r="AW191" t="s">
        <v>139</v>
      </c>
      <c r="BM191">
        <v>190</v>
      </c>
      <c r="BN191" t="s">
        <v>139</v>
      </c>
      <c r="BO191" t="str">
        <f t="shared" si="69"/>
        <v>FRANCISCO MARCA</v>
      </c>
      <c r="BP191" t="b">
        <f t="shared" si="91"/>
        <v>1</v>
      </c>
    </row>
    <row r="192" spans="1:68">
      <c r="A192">
        <v>191</v>
      </c>
      <c r="B192" t="s">
        <v>20</v>
      </c>
      <c r="C192" s="1">
        <v>2033490246</v>
      </c>
      <c r="D192" t="s">
        <v>280</v>
      </c>
      <c r="E192">
        <f>COUNTIF($C$1:C192,C192)</f>
        <v>4</v>
      </c>
      <c r="F192" t="str">
        <f t="shared" si="62"/>
        <v>20334902464</v>
      </c>
      <c r="G192">
        <f t="shared" si="89"/>
        <v>1</v>
      </c>
      <c r="H192">
        <f t="shared" si="90"/>
        <v>0</v>
      </c>
      <c r="I192"/>
      <c r="AV192">
        <v>191</v>
      </c>
      <c r="AW192" t="s">
        <v>20</v>
      </c>
      <c r="BM192">
        <v>191</v>
      </c>
      <c r="BN192" t="s">
        <v>20</v>
      </c>
      <c r="BO192" t="str">
        <f t="shared" si="69"/>
        <v>SOLON pg</v>
      </c>
      <c r="BP192" t="b">
        <f t="shared" si="91"/>
        <v>1</v>
      </c>
    </row>
    <row r="193" spans="1:68">
      <c r="A193">
        <v>192</v>
      </c>
      <c r="E193">
        <f>COUNTIF($C$1:C193,C193)</f>
        <v>0</v>
      </c>
      <c r="F193" t="str">
        <f t="shared" si="62"/>
        <v>0</v>
      </c>
      <c r="G193">
        <f t="shared" si="89"/>
        <v>0</v>
      </c>
      <c r="H193">
        <f t="shared" si="90"/>
        <v>0</v>
      </c>
      <c r="I193"/>
      <c r="AV193">
        <v>192</v>
      </c>
      <c r="BM193">
        <v>192</v>
      </c>
      <c r="BO193">
        <f t="shared" si="69"/>
        <v>0</v>
      </c>
      <c r="BP193" t="b">
        <f t="shared" si="91"/>
        <v>1</v>
      </c>
    </row>
    <row r="194" spans="1:68">
      <c r="A194">
        <v>193</v>
      </c>
      <c r="B194" t="s">
        <v>300</v>
      </c>
      <c r="C194" s="1">
        <v>2038085888</v>
      </c>
      <c r="D194" t="s">
        <v>280</v>
      </c>
      <c r="E194">
        <f>COUNTIF($C$1:C194,C194)</f>
        <v>1</v>
      </c>
      <c r="F194" t="str">
        <f t="shared" ref="F194:F257" si="92">C194&amp;E194</f>
        <v>20380858881</v>
      </c>
      <c r="G194">
        <f t="shared" si="89"/>
        <v>1</v>
      </c>
      <c r="H194">
        <f t="shared" si="90"/>
        <v>0</v>
      </c>
      <c r="I194"/>
      <c r="AV194">
        <v>193</v>
      </c>
      <c r="AW194" t="s">
        <v>140</v>
      </c>
      <c r="BM194">
        <v>193</v>
      </c>
      <c r="BN194" t="s">
        <v>140</v>
      </c>
      <c r="BO194" t="str">
        <f t="shared" ref="BO194:BO257" si="93">VLOOKUP(BM194,A:B,2,0)</f>
        <v>JOSE CARLOS pg</v>
      </c>
      <c r="BP194" t="b">
        <v>1</v>
      </c>
    </row>
    <row r="195" spans="1:68">
      <c r="A195">
        <v>194</v>
      </c>
      <c r="E195">
        <f>COUNTIF($C$1:C195,C195)</f>
        <v>0</v>
      </c>
      <c r="F195" t="str">
        <f t="shared" si="92"/>
        <v>0</v>
      </c>
      <c r="G195">
        <f t="shared" si="89"/>
        <v>0</v>
      </c>
      <c r="H195">
        <f t="shared" si="90"/>
        <v>0</v>
      </c>
      <c r="I195"/>
      <c r="AV195">
        <v>194</v>
      </c>
      <c r="BM195">
        <v>194</v>
      </c>
      <c r="BO195">
        <f t="shared" si="93"/>
        <v>0</v>
      </c>
      <c r="BP195" t="b">
        <f t="shared" ref="BP195:BP211" si="94">BO195=BN195</f>
        <v>1</v>
      </c>
    </row>
    <row r="196" spans="1:68">
      <c r="A196">
        <v>195</v>
      </c>
      <c r="B196" t="s">
        <v>141</v>
      </c>
      <c r="C196" s="1">
        <v>2032401199</v>
      </c>
      <c r="D196" t="s">
        <v>280</v>
      </c>
      <c r="E196">
        <f>COUNTIF($C$1:C196,C196)</f>
        <v>1</v>
      </c>
      <c r="F196" t="str">
        <f t="shared" si="92"/>
        <v>20324011991</v>
      </c>
      <c r="G196">
        <f t="shared" si="89"/>
        <v>1</v>
      </c>
      <c r="H196">
        <f t="shared" si="90"/>
        <v>0</v>
      </c>
      <c r="I196"/>
      <c r="AV196">
        <v>195</v>
      </c>
      <c r="AW196" t="s">
        <v>141</v>
      </c>
      <c r="BM196">
        <v>195</v>
      </c>
      <c r="BN196" t="s">
        <v>141</v>
      </c>
      <c r="BO196" t="str">
        <f t="shared" si="93"/>
        <v>Iza pg</v>
      </c>
      <c r="BP196" t="b">
        <f t="shared" si="94"/>
        <v>1</v>
      </c>
    </row>
    <row r="197" spans="1:68">
      <c r="A197">
        <v>196</v>
      </c>
      <c r="E197">
        <f>COUNTIF($C$1:C197,C197)</f>
        <v>0</v>
      </c>
      <c r="F197" t="str">
        <f t="shared" si="92"/>
        <v>0</v>
      </c>
      <c r="G197">
        <f t="shared" si="89"/>
        <v>0</v>
      </c>
      <c r="H197">
        <f t="shared" si="90"/>
        <v>0</v>
      </c>
      <c r="I197"/>
      <c r="AV197">
        <v>196</v>
      </c>
      <c r="BM197">
        <v>196</v>
      </c>
      <c r="BO197">
        <f t="shared" si="93"/>
        <v>0</v>
      </c>
      <c r="BP197" t="b">
        <f t="shared" si="94"/>
        <v>1</v>
      </c>
    </row>
    <row r="198" spans="1:68">
      <c r="A198">
        <v>197</v>
      </c>
      <c r="B198" t="s">
        <v>349</v>
      </c>
      <c r="C198" s="1">
        <v>2034503366</v>
      </c>
      <c r="D198" t="s">
        <v>280</v>
      </c>
      <c r="E198">
        <f>COUNTIF($C$1:C198,C198)</f>
        <v>1</v>
      </c>
      <c r="F198" t="str">
        <f t="shared" si="92"/>
        <v>20345033661</v>
      </c>
      <c r="G198">
        <f t="shared" si="89"/>
        <v>1</v>
      </c>
      <c r="H198">
        <f t="shared" si="90"/>
        <v>0</v>
      </c>
      <c r="I198"/>
      <c r="AV198">
        <v>197</v>
      </c>
      <c r="AW198" t="s">
        <v>142</v>
      </c>
      <c r="BM198">
        <v>197</v>
      </c>
      <c r="BN198" t="s">
        <v>142</v>
      </c>
      <c r="BO198" t="str">
        <f t="shared" si="93"/>
        <v>WADSON FRANCO pg</v>
      </c>
      <c r="BP198" t="b">
        <f t="shared" si="94"/>
        <v>0</v>
      </c>
    </row>
    <row r="199" spans="1:68">
      <c r="A199">
        <v>198</v>
      </c>
      <c r="B199" t="s">
        <v>143</v>
      </c>
      <c r="C199" s="1">
        <v>2038580805</v>
      </c>
      <c r="D199" t="s">
        <v>280</v>
      </c>
      <c r="E199">
        <f>COUNTIF($C$1:C199,C199)</f>
        <v>3</v>
      </c>
      <c r="F199" t="str">
        <f t="shared" si="92"/>
        <v>20385808053</v>
      </c>
      <c r="G199">
        <f t="shared" si="89"/>
        <v>0</v>
      </c>
      <c r="H199">
        <f t="shared" si="90"/>
        <v>0</v>
      </c>
      <c r="I199" s="12"/>
      <c r="J199" s="12"/>
      <c r="K199" s="12"/>
      <c r="L199" s="12"/>
      <c r="M199" s="12"/>
      <c r="AV199">
        <v>198</v>
      </c>
      <c r="AW199" t="s">
        <v>143</v>
      </c>
      <c r="BM199">
        <v>198</v>
      </c>
      <c r="BN199" t="s">
        <v>143</v>
      </c>
      <c r="BO199" t="str">
        <f t="shared" si="93"/>
        <v>GIL ARAUJO</v>
      </c>
      <c r="BP199" t="b">
        <f t="shared" si="94"/>
        <v>1</v>
      </c>
    </row>
    <row r="200" spans="1:68">
      <c r="A200">
        <v>199</v>
      </c>
      <c r="B200" t="s">
        <v>144</v>
      </c>
      <c r="C200" s="1">
        <v>9148048287</v>
      </c>
      <c r="D200" t="s">
        <v>280</v>
      </c>
      <c r="E200">
        <f>COUNTIF($C$1:C200,C200)</f>
        <v>1</v>
      </c>
      <c r="F200" t="str">
        <f t="shared" si="92"/>
        <v>91480482871</v>
      </c>
      <c r="G200">
        <f t="shared" si="89"/>
        <v>0</v>
      </c>
      <c r="H200">
        <f t="shared" si="90"/>
        <v>0</v>
      </c>
      <c r="I200"/>
      <c r="AV200">
        <v>199</v>
      </c>
      <c r="AW200" t="s">
        <v>144</v>
      </c>
      <c r="BM200">
        <v>199</v>
      </c>
      <c r="BN200" t="s">
        <v>144</v>
      </c>
      <c r="BO200" t="str">
        <f t="shared" si="93"/>
        <v>TIA VERA</v>
      </c>
      <c r="BP200" t="b">
        <f t="shared" si="94"/>
        <v>1</v>
      </c>
    </row>
    <row r="201" spans="1:68">
      <c r="A201">
        <v>200</v>
      </c>
      <c r="B201" t="s">
        <v>145</v>
      </c>
      <c r="C201" s="1">
        <v>9144478366</v>
      </c>
      <c r="D201" t="s">
        <v>280</v>
      </c>
      <c r="E201">
        <f>COUNTIF($C$1:C201,C201)</f>
        <v>1</v>
      </c>
      <c r="F201" t="str">
        <f t="shared" si="92"/>
        <v>91444783661</v>
      </c>
      <c r="G201">
        <f t="shared" si="89"/>
        <v>0</v>
      </c>
      <c r="H201">
        <f t="shared" si="90"/>
        <v>0</v>
      </c>
      <c r="I201"/>
      <c r="AV201">
        <v>200</v>
      </c>
      <c r="AW201" t="s">
        <v>145</v>
      </c>
      <c r="BM201">
        <v>200</v>
      </c>
      <c r="BN201" t="s">
        <v>145</v>
      </c>
      <c r="BO201" t="str">
        <f t="shared" si="93"/>
        <v>Ricardo Souza</v>
      </c>
      <c r="BP201" t="b">
        <f t="shared" si="94"/>
        <v>1</v>
      </c>
    </row>
    <row r="202" spans="1:68">
      <c r="A202">
        <v>201</v>
      </c>
      <c r="B202" t="s">
        <v>146</v>
      </c>
      <c r="C202" s="1">
        <v>2036192141</v>
      </c>
      <c r="D202" t="s">
        <v>280</v>
      </c>
      <c r="E202">
        <f>COUNTIF($C$1:C202,C202)</f>
        <v>1</v>
      </c>
      <c r="F202" t="str">
        <f t="shared" si="92"/>
        <v>20361921411</v>
      </c>
      <c r="G202">
        <f t="shared" si="89"/>
        <v>0</v>
      </c>
      <c r="H202">
        <f t="shared" si="90"/>
        <v>0</v>
      </c>
      <c r="I202" s="12"/>
      <c r="J202" s="12"/>
      <c r="K202" s="12"/>
      <c r="L202" s="12"/>
      <c r="M202" s="12"/>
      <c r="AV202">
        <v>201</v>
      </c>
      <c r="AW202" t="s">
        <v>146</v>
      </c>
      <c r="BM202">
        <v>201</v>
      </c>
      <c r="BN202" t="s">
        <v>146</v>
      </c>
      <c r="BO202" t="str">
        <f t="shared" si="93"/>
        <v>FABIAN</v>
      </c>
      <c r="BP202" t="b">
        <f t="shared" si="94"/>
        <v>1</v>
      </c>
    </row>
    <row r="203" spans="1:68">
      <c r="A203">
        <v>202</v>
      </c>
      <c r="B203" t="s">
        <v>115</v>
      </c>
      <c r="C203" s="1">
        <v>2039524111</v>
      </c>
      <c r="D203" t="s">
        <v>280</v>
      </c>
      <c r="E203">
        <f>COUNTIF($C$1:C203,C203)</f>
        <v>2</v>
      </c>
      <c r="F203" t="str">
        <f t="shared" si="92"/>
        <v>20395241112</v>
      </c>
      <c r="G203">
        <f t="shared" si="89"/>
        <v>0</v>
      </c>
      <c r="H203">
        <f t="shared" si="90"/>
        <v>0</v>
      </c>
      <c r="I203"/>
      <c r="AV203">
        <v>202</v>
      </c>
      <c r="AW203" t="s">
        <v>115</v>
      </c>
      <c r="BM203">
        <v>202</v>
      </c>
      <c r="BN203" t="s">
        <v>115</v>
      </c>
      <c r="BO203" t="str">
        <f t="shared" si="93"/>
        <v>Leandro at lpslimo</v>
      </c>
      <c r="BP203" t="b">
        <f t="shared" si="94"/>
        <v>1</v>
      </c>
    </row>
    <row r="204" spans="1:68">
      <c r="A204">
        <v>203</v>
      </c>
      <c r="B204" t="s">
        <v>367</v>
      </c>
      <c r="C204" s="1">
        <v>2038220554</v>
      </c>
      <c r="D204" t="s">
        <v>280</v>
      </c>
      <c r="E204">
        <f>COUNTIF($C$1:C204,C204)</f>
        <v>1</v>
      </c>
      <c r="F204" t="str">
        <f t="shared" si="92"/>
        <v>20382205541</v>
      </c>
      <c r="G204">
        <f t="shared" si="89"/>
        <v>1</v>
      </c>
      <c r="H204">
        <f t="shared" si="90"/>
        <v>0</v>
      </c>
      <c r="I204" s="12"/>
      <c r="J204" s="12"/>
      <c r="K204" s="12"/>
      <c r="L204" s="12"/>
      <c r="M204" s="12"/>
      <c r="AV204">
        <v>203</v>
      </c>
      <c r="AW204" t="s">
        <v>147</v>
      </c>
      <c r="BM204">
        <v>203</v>
      </c>
      <c r="BN204" t="s">
        <v>147</v>
      </c>
      <c r="BO204" t="str">
        <f t="shared" si="93"/>
        <v>ERIQUE DE FIGUEREDO pg</v>
      </c>
      <c r="BP204" t="b">
        <f t="shared" si="94"/>
        <v>0</v>
      </c>
    </row>
    <row r="205" spans="1:68">
      <c r="A205">
        <v>204</v>
      </c>
      <c r="E205">
        <f>COUNTIF($C$1:C205,C205)</f>
        <v>0</v>
      </c>
      <c r="F205" t="str">
        <f t="shared" si="92"/>
        <v>0</v>
      </c>
      <c r="G205">
        <f t="shared" si="89"/>
        <v>0</v>
      </c>
      <c r="H205">
        <f t="shared" si="90"/>
        <v>0</v>
      </c>
      <c r="I205"/>
      <c r="AV205">
        <v>204</v>
      </c>
      <c r="BM205">
        <v>204</v>
      </c>
      <c r="BO205">
        <f t="shared" si="93"/>
        <v>0</v>
      </c>
      <c r="BP205" t="b">
        <f t="shared" si="94"/>
        <v>1</v>
      </c>
    </row>
    <row r="206" spans="1:68">
      <c r="A206">
        <v>205</v>
      </c>
      <c r="B206" t="s">
        <v>55</v>
      </c>
      <c r="C206" s="1">
        <v>9144003667</v>
      </c>
      <c r="D206" t="s">
        <v>280</v>
      </c>
      <c r="E206">
        <f>COUNTIF($C$1:C206,C206)</f>
        <v>2</v>
      </c>
      <c r="F206" t="str">
        <f t="shared" si="92"/>
        <v>91440036672</v>
      </c>
      <c r="G206">
        <f t="shared" si="89"/>
        <v>0</v>
      </c>
      <c r="H206">
        <f t="shared" si="90"/>
        <v>0</v>
      </c>
      <c r="I206" s="12"/>
      <c r="J206" s="12"/>
      <c r="K206" s="12"/>
      <c r="L206" s="12"/>
      <c r="M206" s="12"/>
      <c r="AV206">
        <v>205</v>
      </c>
      <c r="AW206" t="s">
        <v>55</v>
      </c>
      <c r="BM206">
        <v>205</v>
      </c>
      <c r="BN206" t="s">
        <v>55</v>
      </c>
      <c r="BO206" t="str">
        <f t="shared" si="93"/>
        <v>ANDERSON JEFERSON</v>
      </c>
      <c r="BP206" t="b">
        <f t="shared" si="94"/>
        <v>1</v>
      </c>
    </row>
    <row r="207" spans="1:68">
      <c r="A207">
        <v>206</v>
      </c>
      <c r="E207">
        <f>COUNTIF($C$1:C207,C207)</f>
        <v>0</v>
      </c>
      <c r="F207" t="str">
        <f t="shared" si="92"/>
        <v>0</v>
      </c>
      <c r="G207">
        <f t="shared" si="89"/>
        <v>0</v>
      </c>
      <c r="H207">
        <f t="shared" si="90"/>
        <v>0</v>
      </c>
      <c r="I207"/>
      <c r="AV207">
        <v>206</v>
      </c>
      <c r="BM207">
        <v>206</v>
      </c>
      <c r="BO207">
        <f t="shared" si="93"/>
        <v>0</v>
      </c>
      <c r="BP207" t="b">
        <f t="shared" si="94"/>
        <v>1</v>
      </c>
    </row>
    <row r="208" spans="1:68">
      <c r="A208">
        <v>207</v>
      </c>
      <c r="B208" t="s">
        <v>108</v>
      </c>
      <c r="D208" t="s">
        <v>281</v>
      </c>
      <c r="E208">
        <f>COUNTIF($C$1:C208,C208)</f>
        <v>0</v>
      </c>
      <c r="F208" t="str">
        <f t="shared" si="92"/>
        <v>0</v>
      </c>
      <c r="G208">
        <f t="shared" si="89"/>
        <v>0</v>
      </c>
      <c r="H208">
        <f t="shared" si="90"/>
        <v>0</v>
      </c>
      <c r="I208"/>
      <c r="AV208">
        <v>207</v>
      </c>
      <c r="AW208" t="s">
        <v>108</v>
      </c>
      <c r="BM208">
        <v>207</v>
      </c>
      <c r="BN208" t="s">
        <v>108</v>
      </c>
      <c r="BO208" t="str">
        <f t="shared" si="93"/>
        <v>Júlio César</v>
      </c>
      <c r="BP208" t="b">
        <f t="shared" si="94"/>
        <v>1</v>
      </c>
    </row>
    <row r="209" spans="1:68">
      <c r="A209">
        <v>208</v>
      </c>
      <c r="E209">
        <f>COUNTIF($C$1:C209,C209)</f>
        <v>0</v>
      </c>
      <c r="F209" t="str">
        <f t="shared" si="92"/>
        <v>0</v>
      </c>
      <c r="G209">
        <f t="shared" si="89"/>
        <v>0</v>
      </c>
      <c r="H209">
        <f t="shared" si="90"/>
        <v>0</v>
      </c>
      <c r="I209"/>
      <c r="AV209">
        <v>208</v>
      </c>
      <c r="BM209">
        <v>208</v>
      </c>
      <c r="BO209">
        <f t="shared" si="93"/>
        <v>0</v>
      </c>
      <c r="BP209" t="b">
        <f t="shared" si="94"/>
        <v>1</v>
      </c>
    </row>
    <row r="210" spans="1:68">
      <c r="A210">
        <v>209</v>
      </c>
      <c r="B210" t="s">
        <v>148</v>
      </c>
      <c r="C210" s="1">
        <v>9147558956</v>
      </c>
      <c r="D210" t="s">
        <v>280</v>
      </c>
      <c r="E210">
        <f>COUNTIF($C$1:C210,C210)</f>
        <v>1</v>
      </c>
      <c r="F210" t="str">
        <f t="shared" si="92"/>
        <v>91475589561</v>
      </c>
      <c r="G210">
        <f t="shared" si="89"/>
        <v>0</v>
      </c>
      <c r="H210">
        <f t="shared" si="90"/>
        <v>0</v>
      </c>
      <c r="I210"/>
      <c r="AV210">
        <v>209</v>
      </c>
      <c r="AW210" t="s">
        <v>148</v>
      </c>
      <c r="BM210">
        <v>209</v>
      </c>
      <c r="BN210" t="s">
        <v>148</v>
      </c>
      <c r="BO210" t="str">
        <f t="shared" si="93"/>
        <v>TIAGO ARAUJO</v>
      </c>
      <c r="BP210" t="b">
        <f t="shared" si="94"/>
        <v>1</v>
      </c>
    </row>
    <row r="211" spans="1:68">
      <c r="A211">
        <v>210</v>
      </c>
      <c r="B211" t="s">
        <v>148</v>
      </c>
      <c r="C211" s="1">
        <v>9147558956</v>
      </c>
      <c r="D211" t="s">
        <v>280</v>
      </c>
      <c r="E211">
        <f>COUNTIF($C$1:C211,C211)</f>
        <v>2</v>
      </c>
      <c r="F211" t="str">
        <f t="shared" si="92"/>
        <v>91475589562</v>
      </c>
      <c r="G211">
        <f t="shared" si="89"/>
        <v>0</v>
      </c>
      <c r="H211">
        <f t="shared" si="90"/>
        <v>0</v>
      </c>
      <c r="I211"/>
      <c r="AV211">
        <v>210</v>
      </c>
      <c r="AW211" t="s">
        <v>148</v>
      </c>
      <c r="BM211">
        <v>210</v>
      </c>
      <c r="BN211" t="s">
        <v>148</v>
      </c>
      <c r="BO211" t="str">
        <f t="shared" si="93"/>
        <v>TIAGO ARAUJO</v>
      </c>
      <c r="BP211" t="b">
        <f t="shared" si="94"/>
        <v>1</v>
      </c>
    </row>
    <row r="212" spans="1:68">
      <c r="A212">
        <v>211</v>
      </c>
      <c r="B212" t="s">
        <v>330</v>
      </c>
      <c r="C212" s="1">
        <v>2033606809</v>
      </c>
      <c r="D212" t="s">
        <v>280</v>
      </c>
      <c r="E212">
        <f>COUNTIF($C$1:C212,C212)</f>
        <v>1</v>
      </c>
      <c r="F212" t="str">
        <f t="shared" si="92"/>
        <v>20336068091</v>
      </c>
      <c r="G212">
        <f t="shared" si="89"/>
        <v>1</v>
      </c>
      <c r="H212">
        <f t="shared" si="90"/>
        <v>0</v>
      </c>
      <c r="I212"/>
      <c r="AV212">
        <v>211</v>
      </c>
      <c r="AW212" t="s">
        <v>149</v>
      </c>
      <c r="BM212">
        <v>211</v>
      </c>
      <c r="BN212" t="s">
        <v>149</v>
      </c>
      <c r="BO212" t="str">
        <f t="shared" si="93"/>
        <v>Roger/GUI pg</v>
      </c>
      <c r="BP212" t="b">
        <v>1</v>
      </c>
    </row>
    <row r="213" spans="1:68">
      <c r="A213">
        <v>212</v>
      </c>
      <c r="E213">
        <f>COUNTIF($C$1:C213,C213)</f>
        <v>0</v>
      </c>
      <c r="F213" t="str">
        <f t="shared" si="92"/>
        <v>0</v>
      </c>
      <c r="G213">
        <f t="shared" si="89"/>
        <v>0</v>
      </c>
      <c r="H213">
        <f t="shared" si="90"/>
        <v>0</v>
      </c>
      <c r="I213"/>
      <c r="AV213">
        <v>212</v>
      </c>
      <c r="BM213">
        <v>212</v>
      </c>
      <c r="BO213">
        <f t="shared" si="93"/>
        <v>0</v>
      </c>
      <c r="BP213" t="b">
        <f>BO213=BN213</f>
        <v>1</v>
      </c>
    </row>
    <row r="214" spans="1:68">
      <c r="A214">
        <v>213</v>
      </c>
      <c r="B214" t="s">
        <v>150</v>
      </c>
      <c r="C214" s="1">
        <v>9144695805</v>
      </c>
      <c r="D214" t="s">
        <v>280</v>
      </c>
      <c r="E214">
        <f>COUNTIF($C$1:C214,C214)</f>
        <v>1</v>
      </c>
      <c r="F214" t="str">
        <f t="shared" si="92"/>
        <v>91446958051</v>
      </c>
      <c r="G214">
        <f t="shared" si="89"/>
        <v>0</v>
      </c>
      <c r="H214">
        <f t="shared" si="90"/>
        <v>0</v>
      </c>
      <c r="I214"/>
      <c r="AV214">
        <v>213</v>
      </c>
      <c r="AW214" t="s">
        <v>150</v>
      </c>
      <c r="BM214">
        <v>213</v>
      </c>
      <c r="BN214" t="s">
        <v>150</v>
      </c>
      <c r="BO214" t="str">
        <f t="shared" si="93"/>
        <v>ZE CARLINHO /joao Batista</v>
      </c>
      <c r="BP214" t="b">
        <f>BO214=BN214</f>
        <v>1</v>
      </c>
    </row>
    <row r="215" spans="1:68">
      <c r="A215">
        <v>214</v>
      </c>
      <c r="E215">
        <f>COUNTIF($C$1:C215,C215)</f>
        <v>0</v>
      </c>
      <c r="F215" t="str">
        <f t="shared" si="92"/>
        <v>0</v>
      </c>
      <c r="G215">
        <f t="shared" si="89"/>
        <v>0</v>
      </c>
      <c r="H215">
        <f t="shared" si="90"/>
        <v>0</v>
      </c>
      <c r="I215"/>
      <c r="AV215">
        <v>214</v>
      </c>
      <c r="AW215" t="s">
        <v>151</v>
      </c>
      <c r="BM215">
        <v>214</v>
      </c>
      <c r="BO215">
        <f t="shared" si="93"/>
        <v>0</v>
      </c>
      <c r="BP215" t="b">
        <f>BO215=BN215</f>
        <v>1</v>
      </c>
    </row>
    <row r="216" spans="1:68">
      <c r="A216">
        <v>215</v>
      </c>
      <c r="B216" t="s">
        <v>333</v>
      </c>
      <c r="C216" s="1">
        <v>9144381725</v>
      </c>
      <c r="D216" t="s">
        <v>280</v>
      </c>
      <c r="E216">
        <f>COUNTIF($C$1:C216,C216)</f>
        <v>2</v>
      </c>
      <c r="F216" t="str">
        <f t="shared" si="92"/>
        <v>91443817252</v>
      </c>
      <c r="G216">
        <f t="shared" si="89"/>
        <v>1</v>
      </c>
      <c r="H216">
        <f t="shared" si="90"/>
        <v>0</v>
      </c>
      <c r="I216"/>
      <c r="AV216">
        <v>215</v>
      </c>
      <c r="AW216" t="s">
        <v>113</v>
      </c>
      <c r="BM216">
        <v>215</v>
      </c>
      <c r="BN216" t="s">
        <v>113</v>
      </c>
      <c r="BO216" t="str">
        <f t="shared" si="93"/>
        <v>Juliano Farias /gustavo pg</v>
      </c>
      <c r="BP216" t="b">
        <v>1</v>
      </c>
    </row>
    <row r="217" spans="1:68">
      <c r="A217">
        <v>216</v>
      </c>
      <c r="B217" t="s">
        <v>152</v>
      </c>
      <c r="C217" s="1">
        <v>9142270568</v>
      </c>
      <c r="D217" t="s">
        <v>280</v>
      </c>
      <c r="E217">
        <f>COUNTIF($C$1:C217,C217)</f>
        <v>1</v>
      </c>
      <c r="F217" t="str">
        <f t="shared" si="92"/>
        <v>91422705681</v>
      </c>
      <c r="G217">
        <f t="shared" si="89"/>
        <v>0</v>
      </c>
      <c r="H217">
        <f t="shared" si="90"/>
        <v>0</v>
      </c>
      <c r="I217" s="12"/>
      <c r="J217" s="12"/>
      <c r="K217" s="12"/>
      <c r="L217" s="12"/>
      <c r="M217" s="12"/>
      <c r="AV217">
        <v>216</v>
      </c>
      <c r="AW217" t="s">
        <v>152</v>
      </c>
      <c r="BM217">
        <v>216</v>
      </c>
      <c r="BN217" t="s">
        <v>152</v>
      </c>
      <c r="BO217" t="str">
        <f t="shared" si="93"/>
        <v>Danilex</v>
      </c>
      <c r="BP217" t="b">
        <f t="shared" ref="BP217:BP237" si="95">BO217=BN217</f>
        <v>1</v>
      </c>
    </row>
    <row r="218" spans="1:68">
      <c r="A218">
        <v>217</v>
      </c>
      <c r="B218" t="s">
        <v>153</v>
      </c>
      <c r="C218" s="1">
        <v>5162442819</v>
      </c>
      <c r="D218" t="s">
        <v>286</v>
      </c>
      <c r="E218">
        <f>COUNTIF($C$1:C218,C218)</f>
        <v>2</v>
      </c>
      <c r="F218" t="str">
        <f t="shared" si="92"/>
        <v>51624428192</v>
      </c>
      <c r="G218">
        <f t="shared" si="89"/>
        <v>0</v>
      </c>
      <c r="H218">
        <f t="shared" si="90"/>
        <v>0</v>
      </c>
      <c r="I218" s="12"/>
      <c r="J218" s="12"/>
      <c r="K218" s="12"/>
      <c r="L218" s="12"/>
      <c r="M218" s="12"/>
      <c r="AV218">
        <v>217</v>
      </c>
      <c r="AW218" t="s">
        <v>153</v>
      </c>
      <c r="BM218">
        <v>217</v>
      </c>
      <c r="BN218" t="s">
        <v>153</v>
      </c>
      <c r="BO218" t="str">
        <f t="shared" si="93"/>
        <v>Carlos de Paula</v>
      </c>
      <c r="BP218" t="b">
        <f t="shared" si="95"/>
        <v>1</v>
      </c>
    </row>
    <row r="219" spans="1:68">
      <c r="A219">
        <v>218</v>
      </c>
      <c r="B219" t="s">
        <v>347</v>
      </c>
      <c r="C219" s="1">
        <v>2035229574</v>
      </c>
      <c r="D219" t="s">
        <v>280</v>
      </c>
      <c r="E219">
        <f>COUNTIF($C$1:C219,C219)</f>
        <v>2</v>
      </c>
      <c r="F219" t="str">
        <f t="shared" si="92"/>
        <v>20352295742</v>
      </c>
      <c r="G219">
        <f t="shared" si="89"/>
        <v>0</v>
      </c>
      <c r="H219">
        <f t="shared" si="90"/>
        <v>0</v>
      </c>
      <c r="I219" s="12"/>
      <c r="J219" s="12"/>
      <c r="K219" s="12"/>
      <c r="L219" s="12"/>
      <c r="M219" s="12"/>
      <c r="AV219">
        <v>218</v>
      </c>
      <c r="AW219" t="s">
        <v>154</v>
      </c>
      <c r="BM219">
        <v>218</v>
      </c>
      <c r="BN219" t="s">
        <v>348</v>
      </c>
      <c r="BO219" t="str">
        <f t="shared" si="93"/>
        <v>DANIEL jet</v>
      </c>
      <c r="BP219" t="b">
        <f t="shared" si="95"/>
        <v>1</v>
      </c>
    </row>
    <row r="220" spans="1:68">
      <c r="A220">
        <v>219</v>
      </c>
      <c r="B220" t="s">
        <v>347</v>
      </c>
      <c r="C220" s="1">
        <v>2035229574</v>
      </c>
      <c r="D220" t="s">
        <v>280</v>
      </c>
      <c r="E220">
        <f>COUNTIF($C$1:C220,C220)</f>
        <v>3</v>
      </c>
      <c r="F220" t="str">
        <f t="shared" si="92"/>
        <v>20352295743</v>
      </c>
      <c r="G220">
        <f t="shared" si="89"/>
        <v>0</v>
      </c>
      <c r="H220">
        <f t="shared" si="90"/>
        <v>0</v>
      </c>
      <c r="I220" s="12"/>
      <c r="J220" s="12"/>
      <c r="K220" s="12"/>
      <c r="L220" s="12"/>
      <c r="M220" s="12"/>
      <c r="AV220">
        <v>219</v>
      </c>
      <c r="AW220" t="s">
        <v>154</v>
      </c>
      <c r="BM220">
        <v>219</v>
      </c>
      <c r="BN220" t="s">
        <v>348</v>
      </c>
      <c r="BO220" t="str">
        <f t="shared" si="93"/>
        <v>DANIEL jet</v>
      </c>
      <c r="BP220" t="b">
        <f t="shared" si="95"/>
        <v>1</v>
      </c>
    </row>
    <row r="221" spans="1:68">
      <c r="A221">
        <v>220</v>
      </c>
      <c r="B221" t="s">
        <v>148</v>
      </c>
      <c r="C221" s="1">
        <v>9147558956</v>
      </c>
      <c r="D221" t="s">
        <v>280</v>
      </c>
      <c r="E221">
        <f>COUNTIF($C$1:C221,C221)</f>
        <v>3</v>
      </c>
      <c r="F221" t="str">
        <f t="shared" si="92"/>
        <v>91475589563</v>
      </c>
      <c r="G221">
        <f t="shared" si="89"/>
        <v>0</v>
      </c>
      <c r="H221">
        <f t="shared" si="90"/>
        <v>0</v>
      </c>
      <c r="I221"/>
      <c r="AV221">
        <v>220</v>
      </c>
      <c r="AW221" t="s">
        <v>148</v>
      </c>
      <c r="BM221">
        <v>220</v>
      </c>
      <c r="BN221" t="s">
        <v>148</v>
      </c>
      <c r="BO221" t="str">
        <f t="shared" si="93"/>
        <v>TIAGO ARAUJO</v>
      </c>
      <c r="BP221" t="b">
        <f t="shared" si="95"/>
        <v>1</v>
      </c>
    </row>
    <row r="222" spans="1:68">
      <c r="A222">
        <v>221</v>
      </c>
      <c r="B222" t="s">
        <v>347</v>
      </c>
      <c r="C222" s="1">
        <v>2035229574</v>
      </c>
      <c r="D222" t="s">
        <v>280</v>
      </c>
      <c r="E222">
        <f>COUNTIF($C$1:C222,C222)</f>
        <v>4</v>
      </c>
      <c r="F222" t="str">
        <f t="shared" si="92"/>
        <v>20352295744</v>
      </c>
      <c r="G222">
        <f t="shared" si="89"/>
        <v>0</v>
      </c>
      <c r="H222">
        <f t="shared" si="90"/>
        <v>0</v>
      </c>
      <c r="I222" s="12"/>
      <c r="J222" s="12"/>
      <c r="K222" s="12"/>
      <c r="L222" s="12"/>
      <c r="M222" s="12"/>
      <c r="AV222">
        <v>221</v>
      </c>
      <c r="AW222" t="s">
        <v>65</v>
      </c>
      <c r="BM222">
        <v>221</v>
      </c>
      <c r="BN222" t="s">
        <v>347</v>
      </c>
      <c r="BO222" t="str">
        <f t="shared" si="93"/>
        <v>DANIEL jet</v>
      </c>
      <c r="BP222" t="b">
        <f t="shared" si="95"/>
        <v>1</v>
      </c>
    </row>
    <row r="223" spans="1:68">
      <c r="A223">
        <v>222</v>
      </c>
      <c r="B223" t="s">
        <v>155</v>
      </c>
      <c r="C223" s="1">
        <v>5511973919591</v>
      </c>
      <c r="D223" t="s">
        <v>280</v>
      </c>
      <c r="E223">
        <f>COUNTIF($C$1:C223,C223)</f>
        <v>1</v>
      </c>
      <c r="F223" t="str">
        <f t="shared" si="92"/>
        <v>55119739195911</v>
      </c>
      <c r="G223">
        <f t="shared" si="89"/>
        <v>0</v>
      </c>
      <c r="H223">
        <f t="shared" si="90"/>
        <v>0</v>
      </c>
      <c r="I223" s="12"/>
      <c r="J223" s="12"/>
      <c r="K223" s="12"/>
      <c r="L223" s="12"/>
      <c r="M223" s="12"/>
      <c r="AV223">
        <v>222</v>
      </c>
      <c r="AW223" t="s">
        <v>155</v>
      </c>
      <c r="BM223">
        <v>222</v>
      </c>
      <c r="BN223" t="s">
        <v>155</v>
      </c>
      <c r="BO223" t="str">
        <f t="shared" si="93"/>
        <v>ALEXANDRE BATISTA</v>
      </c>
      <c r="BP223" t="b">
        <f t="shared" si="95"/>
        <v>1</v>
      </c>
    </row>
    <row r="224" spans="1:68">
      <c r="A224">
        <v>223</v>
      </c>
      <c r="B224" t="s">
        <v>156</v>
      </c>
      <c r="C224" s="1">
        <v>9142270568</v>
      </c>
      <c r="D224" t="s">
        <v>280</v>
      </c>
      <c r="E224">
        <f>COUNTIF($C$1:C224,C224)</f>
        <v>2</v>
      </c>
      <c r="F224" t="str">
        <f t="shared" si="92"/>
        <v>91422705682</v>
      </c>
      <c r="G224">
        <f t="shared" si="89"/>
        <v>0</v>
      </c>
      <c r="H224">
        <f t="shared" si="90"/>
        <v>0</v>
      </c>
      <c r="I224" s="12"/>
      <c r="J224" s="12"/>
      <c r="K224" s="12"/>
      <c r="L224" s="12"/>
      <c r="M224" s="12"/>
      <c r="AV224">
        <v>223</v>
      </c>
      <c r="AW224" t="s">
        <v>156</v>
      </c>
      <c r="BM224">
        <v>223</v>
      </c>
      <c r="BN224" t="s">
        <v>156</v>
      </c>
      <c r="BO224" t="str">
        <f t="shared" si="93"/>
        <v>DANILEX</v>
      </c>
      <c r="BP224" t="b">
        <f t="shared" si="95"/>
        <v>1</v>
      </c>
    </row>
    <row r="225" spans="1:68">
      <c r="A225">
        <v>224</v>
      </c>
      <c r="B225" t="s">
        <v>102</v>
      </c>
      <c r="C225" s="1">
        <v>2032472211</v>
      </c>
      <c r="D225" t="s">
        <v>280</v>
      </c>
      <c r="E225">
        <f>COUNTIF($C$1:C225,C225)</f>
        <v>2</v>
      </c>
      <c r="F225" t="str">
        <f t="shared" si="92"/>
        <v>20324722112</v>
      </c>
      <c r="G225">
        <f t="shared" si="89"/>
        <v>0</v>
      </c>
      <c r="H225">
        <f t="shared" si="90"/>
        <v>0</v>
      </c>
      <c r="I225" s="12"/>
      <c r="J225" s="12"/>
      <c r="K225" s="12"/>
      <c r="L225" s="12"/>
      <c r="M225" s="12"/>
      <c r="AV225">
        <v>224</v>
      </c>
      <c r="AW225" t="s">
        <v>102</v>
      </c>
      <c r="BM225">
        <v>224</v>
      </c>
      <c r="BN225" t="s">
        <v>102</v>
      </c>
      <c r="BO225" t="str">
        <f t="shared" si="93"/>
        <v>BRYAN ARAUJO</v>
      </c>
      <c r="BP225" t="b">
        <f t="shared" si="95"/>
        <v>1</v>
      </c>
    </row>
    <row r="226" spans="1:68">
      <c r="A226">
        <v>225</v>
      </c>
      <c r="B226" t="s">
        <v>352</v>
      </c>
      <c r="C226" s="1">
        <v>5515879636</v>
      </c>
      <c r="D226" t="s">
        <v>280</v>
      </c>
      <c r="E226">
        <f>COUNTIF($C$1:C226,C226)</f>
        <v>1</v>
      </c>
      <c r="F226" t="str">
        <f t="shared" si="92"/>
        <v>55158796361</v>
      </c>
      <c r="G226">
        <f t="shared" si="89"/>
        <v>1</v>
      </c>
      <c r="H226">
        <f t="shared" si="90"/>
        <v>0</v>
      </c>
      <c r="I226"/>
      <c r="AV226">
        <v>225</v>
      </c>
      <c r="AW226" t="s">
        <v>157</v>
      </c>
      <c r="BM226">
        <v>225</v>
      </c>
      <c r="BN226" t="s">
        <v>157</v>
      </c>
      <c r="BO226" t="str">
        <f t="shared" si="93"/>
        <v>STEPHANIE /Eduardo pg</v>
      </c>
      <c r="BP226" t="b">
        <f t="shared" si="95"/>
        <v>0</v>
      </c>
    </row>
    <row r="227" spans="1:68">
      <c r="A227">
        <v>226</v>
      </c>
      <c r="B227" t="s">
        <v>23</v>
      </c>
      <c r="C227" s="1">
        <v>2039943998</v>
      </c>
      <c r="D227" t="s">
        <v>280</v>
      </c>
      <c r="E227">
        <f>COUNTIF($C$1:C227,C227)</f>
        <v>4</v>
      </c>
      <c r="F227" t="str">
        <f t="shared" si="92"/>
        <v>20399439984</v>
      </c>
      <c r="G227">
        <f t="shared" si="89"/>
        <v>0</v>
      </c>
      <c r="H227">
        <f t="shared" si="90"/>
        <v>0</v>
      </c>
      <c r="I227" s="12"/>
      <c r="J227" s="12"/>
      <c r="K227" s="12"/>
      <c r="L227" s="12"/>
      <c r="M227" s="12"/>
      <c r="AV227">
        <v>226</v>
      </c>
      <c r="AW227" t="s">
        <v>23</v>
      </c>
      <c r="BM227">
        <v>226</v>
      </c>
      <c r="BN227" t="s">
        <v>23</v>
      </c>
      <c r="BO227" t="str">
        <f t="shared" si="93"/>
        <v>FERNANDO XARA</v>
      </c>
      <c r="BP227" t="b">
        <f t="shared" si="95"/>
        <v>1</v>
      </c>
    </row>
    <row r="228" spans="1:68">
      <c r="A228">
        <v>227</v>
      </c>
      <c r="E228">
        <f>COUNTIF($C$1:C228,C228)</f>
        <v>0</v>
      </c>
      <c r="F228" t="str">
        <f t="shared" si="92"/>
        <v>0</v>
      </c>
      <c r="G228">
        <f t="shared" si="89"/>
        <v>0</v>
      </c>
      <c r="H228">
        <f t="shared" si="90"/>
        <v>0</v>
      </c>
      <c r="I228"/>
      <c r="AV228">
        <v>227</v>
      </c>
      <c r="BM228">
        <v>227</v>
      </c>
      <c r="BO228">
        <f t="shared" si="93"/>
        <v>0</v>
      </c>
      <c r="BP228" t="b">
        <f t="shared" si="95"/>
        <v>1</v>
      </c>
    </row>
    <row r="229" spans="1:68">
      <c r="A229">
        <v>228</v>
      </c>
      <c r="B229" t="s">
        <v>158</v>
      </c>
      <c r="C229" s="1">
        <v>2036908251</v>
      </c>
      <c r="D229" t="s">
        <v>280</v>
      </c>
      <c r="E229">
        <f>COUNTIF($C$1:C229,C229)</f>
        <v>1</v>
      </c>
      <c r="F229" t="str">
        <f t="shared" si="92"/>
        <v>20369082511</v>
      </c>
      <c r="G229">
        <f t="shared" si="89"/>
        <v>0</v>
      </c>
      <c r="H229">
        <f t="shared" si="90"/>
        <v>0</v>
      </c>
      <c r="I229" s="12"/>
      <c r="J229" s="12"/>
      <c r="K229" s="12"/>
      <c r="L229" s="12"/>
      <c r="M229" s="12"/>
      <c r="AV229">
        <v>228</v>
      </c>
      <c r="AW229" t="s">
        <v>158</v>
      </c>
      <c r="BM229">
        <v>228</v>
      </c>
      <c r="BN229" t="s">
        <v>158</v>
      </c>
      <c r="BO229" t="str">
        <f t="shared" si="93"/>
        <v>CARLOS ROSA</v>
      </c>
      <c r="BP229" t="b">
        <f t="shared" si="95"/>
        <v>1</v>
      </c>
    </row>
    <row r="230" spans="1:68">
      <c r="A230">
        <v>229</v>
      </c>
      <c r="E230">
        <f>COUNTIF($C$1:C230,C230)</f>
        <v>0</v>
      </c>
      <c r="F230" t="str">
        <f t="shared" si="92"/>
        <v>0</v>
      </c>
      <c r="G230">
        <f t="shared" si="89"/>
        <v>0</v>
      </c>
      <c r="H230">
        <f t="shared" si="90"/>
        <v>0</v>
      </c>
      <c r="I230"/>
      <c r="AV230">
        <v>229</v>
      </c>
      <c r="BM230">
        <v>229</v>
      </c>
      <c r="BO230">
        <f t="shared" si="93"/>
        <v>0</v>
      </c>
      <c r="BP230" t="b">
        <f t="shared" si="95"/>
        <v>1</v>
      </c>
    </row>
    <row r="231" spans="1:68">
      <c r="A231">
        <v>230</v>
      </c>
      <c r="B231" t="s">
        <v>159</v>
      </c>
      <c r="C231" s="1">
        <v>2039233002</v>
      </c>
      <c r="D231" t="s">
        <v>280</v>
      </c>
      <c r="E231">
        <f>COUNTIF($C$1:C231,C231)</f>
        <v>1</v>
      </c>
      <c r="F231" t="str">
        <f t="shared" si="92"/>
        <v>20392330021</v>
      </c>
      <c r="G231">
        <f t="shared" si="89"/>
        <v>0</v>
      </c>
      <c r="H231">
        <f t="shared" si="90"/>
        <v>0</v>
      </c>
      <c r="I231" s="12"/>
      <c r="J231" s="12"/>
      <c r="K231" s="12"/>
      <c r="L231" s="12"/>
      <c r="M231" s="12"/>
      <c r="AV231">
        <v>230</v>
      </c>
      <c r="AW231" t="s">
        <v>159</v>
      </c>
      <c r="BM231">
        <v>230</v>
      </c>
      <c r="BN231" t="s">
        <v>159</v>
      </c>
      <c r="BO231" t="str">
        <f t="shared" si="93"/>
        <v>FELIX COSTA</v>
      </c>
      <c r="BP231" t="b">
        <f t="shared" si="95"/>
        <v>1</v>
      </c>
    </row>
    <row r="232" spans="1:68">
      <c r="A232">
        <v>231</v>
      </c>
      <c r="B232" t="s">
        <v>131</v>
      </c>
      <c r="C232" s="1">
        <v>2035360916</v>
      </c>
      <c r="D232" t="s">
        <v>280</v>
      </c>
      <c r="E232">
        <f>COUNTIF($C$1:C232,C232)</f>
        <v>2</v>
      </c>
      <c r="F232" t="str">
        <f t="shared" si="92"/>
        <v>20353609162</v>
      </c>
      <c r="G232">
        <f t="shared" ref="G232:G295" si="96">IF(IFERROR(FIND("pg",LOWER(B232)),0)=0,0,1)</f>
        <v>0</v>
      </c>
      <c r="H232">
        <f t="shared" ref="H232:H295" si="97">IF(IFERROR(FIND("(f)",LOWER(B232)),0)=0,0,1)</f>
        <v>0</v>
      </c>
      <c r="I232" s="12"/>
      <c r="J232" s="12"/>
      <c r="K232" s="12"/>
      <c r="L232" s="12"/>
      <c r="M232" s="12"/>
      <c r="AV232">
        <v>231</v>
      </c>
      <c r="AW232" t="s">
        <v>131</v>
      </c>
      <c r="BM232">
        <v>231</v>
      </c>
      <c r="BN232" t="s">
        <v>131</v>
      </c>
      <c r="BO232" t="str">
        <f t="shared" si="93"/>
        <v>Adalberto Martins</v>
      </c>
      <c r="BP232" t="b">
        <f t="shared" si="95"/>
        <v>1</v>
      </c>
    </row>
    <row r="233" spans="1:68">
      <c r="A233">
        <v>232</v>
      </c>
      <c r="E233">
        <f>COUNTIF($C$1:C233,C233)</f>
        <v>0</v>
      </c>
      <c r="F233" t="str">
        <f t="shared" si="92"/>
        <v>0</v>
      </c>
      <c r="G233">
        <f t="shared" si="96"/>
        <v>0</v>
      </c>
      <c r="H233">
        <f t="shared" si="97"/>
        <v>0</v>
      </c>
      <c r="I233"/>
      <c r="AV233">
        <v>232</v>
      </c>
      <c r="BM233">
        <v>232</v>
      </c>
      <c r="BO233">
        <f t="shared" si="93"/>
        <v>0</v>
      </c>
      <c r="BP233" t="b">
        <f t="shared" si="95"/>
        <v>1</v>
      </c>
    </row>
    <row r="234" spans="1:68">
      <c r="A234">
        <v>233</v>
      </c>
      <c r="B234" t="s">
        <v>160</v>
      </c>
      <c r="D234" t="s">
        <v>281</v>
      </c>
      <c r="E234">
        <f>COUNTIF($C$1:C234,C234)</f>
        <v>0</v>
      </c>
      <c r="F234" t="str">
        <f t="shared" si="92"/>
        <v>0</v>
      </c>
      <c r="G234">
        <f t="shared" si="96"/>
        <v>0</v>
      </c>
      <c r="H234">
        <f t="shared" si="97"/>
        <v>0</v>
      </c>
      <c r="I234" s="12"/>
      <c r="J234" s="12"/>
      <c r="K234" s="12"/>
      <c r="L234" s="12"/>
      <c r="M234" s="12"/>
      <c r="AV234">
        <v>233</v>
      </c>
      <c r="AW234" t="s">
        <v>160</v>
      </c>
      <c r="BM234">
        <v>233</v>
      </c>
      <c r="BN234" t="s">
        <v>160</v>
      </c>
      <c r="BO234" t="str">
        <f t="shared" si="93"/>
        <v>Gabby santos</v>
      </c>
      <c r="BP234" t="b">
        <f t="shared" si="95"/>
        <v>1</v>
      </c>
    </row>
    <row r="235" spans="1:68">
      <c r="A235">
        <v>234</v>
      </c>
      <c r="B235" t="s">
        <v>375</v>
      </c>
      <c r="C235" s="1">
        <v>2038985149</v>
      </c>
      <c r="D235" t="s">
        <v>280</v>
      </c>
      <c r="E235">
        <f>COUNTIF($C$1:C235,C235)</f>
        <v>3</v>
      </c>
      <c r="F235" t="str">
        <f t="shared" si="92"/>
        <v>20389851493</v>
      </c>
      <c r="G235">
        <f t="shared" si="96"/>
        <v>0</v>
      </c>
      <c r="H235">
        <f t="shared" si="97"/>
        <v>1</v>
      </c>
      <c r="I235" s="12"/>
      <c r="J235" s="12"/>
      <c r="K235" s="12"/>
      <c r="L235" s="12"/>
      <c r="M235" s="12"/>
      <c r="AV235">
        <v>234</v>
      </c>
      <c r="AW235" t="s">
        <v>161</v>
      </c>
      <c r="BM235">
        <v>234</v>
      </c>
      <c r="BN235" t="s">
        <v>161</v>
      </c>
      <c r="BO235" t="str">
        <f t="shared" si="93"/>
        <v>Fábio Albino (f)</v>
      </c>
      <c r="BP235" t="b">
        <f t="shared" si="95"/>
        <v>0</v>
      </c>
    </row>
    <row r="236" spans="1:68">
      <c r="A236">
        <v>235</v>
      </c>
      <c r="B236" t="s">
        <v>162</v>
      </c>
      <c r="C236" s="1">
        <v>9143560756</v>
      </c>
      <c r="D236" t="s">
        <v>280</v>
      </c>
      <c r="E236">
        <f>COUNTIF($C$1:C236,C236)</f>
        <v>1</v>
      </c>
      <c r="F236" t="str">
        <f t="shared" si="92"/>
        <v>91435607561</v>
      </c>
      <c r="G236">
        <f t="shared" si="96"/>
        <v>0</v>
      </c>
      <c r="H236">
        <f t="shared" si="97"/>
        <v>0</v>
      </c>
      <c r="I236"/>
      <c r="AV236">
        <v>235</v>
      </c>
      <c r="AW236" t="s">
        <v>162</v>
      </c>
      <c r="BM236">
        <v>235</v>
      </c>
      <c r="BN236" t="s">
        <v>162</v>
      </c>
      <c r="BO236" t="str">
        <f t="shared" si="93"/>
        <v>RAFAEL IDEAL BRASIL</v>
      </c>
      <c r="BP236" t="b">
        <f t="shared" si="95"/>
        <v>1</v>
      </c>
    </row>
    <row r="237" spans="1:68">
      <c r="A237">
        <v>236</v>
      </c>
      <c r="E237">
        <f>COUNTIF($C$1:C237,C237)</f>
        <v>0</v>
      </c>
      <c r="F237" t="str">
        <f t="shared" si="92"/>
        <v>0</v>
      </c>
      <c r="G237">
        <f t="shared" si="96"/>
        <v>0</v>
      </c>
      <c r="H237">
        <f t="shared" si="97"/>
        <v>0</v>
      </c>
      <c r="I237"/>
      <c r="AV237">
        <v>236</v>
      </c>
      <c r="BM237">
        <v>236</v>
      </c>
      <c r="BO237">
        <f t="shared" si="93"/>
        <v>0</v>
      </c>
      <c r="BP237" t="b">
        <f t="shared" si="95"/>
        <v>1</v>
      </c>
    </row>
    <row r="238" spans="1:68">
      <c r="A238">
        <v>237</v>
      </c>
      <c r="B238" t="s">
        <v>338</v>
      </c>
      <c r="C238" s="1">
        <v>2034961500</v>
      </c>
      <c r="D238" t="s">
        <v>280</v>
      </c>
      <c r="E238">
        <f>COUNTIF($C$1:C238,C238)</f>
        <v>1</v>
      </c>
      <c r="F238" t="str">
        <f t="shared" si="92"/>
        <v>20349615001</v>
      </c>
      <c r="G238">
        <f t="shared" si="96"/>
        <v>1</v>
      </c>
      <c r="H238">
        <f t="shared" si="97"/>
        <v>0</v>
      </c>
      <c r="I238"/>
      <c r="AV238">
        <v>237</v>
      </c>
      <c r="AW238" t="s">
        <v>163</v>
      </c>
      <c r="BM238">
        <v>237</v>
      </c>
      <c r="BN238" t="s">
        <v>163</v>
      </c>
      <c r="BO238" t="str">
        <f t="shared" si="93"/>
        <v>Nilton pg</v>
      </c>
      <c r="BP238" t="b">
        <v>1</v>
      </c>
    </row>
    <row r="239" spans="1:68">
      <c r="A239">
        <v>238</v>
      </c>
      <c r="B239" t="s">
        <v>164</v>
      </c>
      <c r="C239" s="1">
        <v>4753599546</v>
      </c>
      <c r="D239" t="s">
        <v>280</v>
      </c>
      <c r="E239">
        <f>COUNTIF($C$1:C239,C239)</f>
        <v>1</v>
      </c>
      <c r="F239" t="str">
        <f t="shared" si="92"/>
        <v>47535995461</v>
      </c>
      <c r="G239">
        <f t="shared" si="96"/>
        <v>0</v>
      </c>
      <c r="H239">
        <f t="shared" si="97"/>
        <v>0</v>
      </c>
      <c r="I239"/>
      <c r="AV239">
        <v>238</v>
      </c>
      <c r="AW239" t="s">
        <v>164</v>
      </c>
      <c r="BM239">
        <v>238</v>
      </c>
      <c r="BN239" t="s">
        <v>164</v>
      </c>
      <c r="BO239" t="str">
        <f t="shared" si="93"/>
        <v>Ramon bahia</v>
      </c>
      <c r="BP239" t="b">
        <f>BO239=BN239</f>
        <v>1</v>
      </c>
    </row>
    <row r="240" spans="1:68">
      <c r="A240">
        <v>239</v>
      </c>
      <c r="B240" t="s">
        <v>165</v>
      </c>
      <c r="D240" t="s">
        <v>281</v>
      </c>
      <c r="E240">
        <f>COUNTIF($C$1:C240,C240)</f>
        <v>0</v>
      </c>
      <c r="F240" t="str">
        <f t="shared" si="92"/>
        <v>0</v>
      </c>
      <c r="G240">
        <f t="shared" si="96"/>
        <v>0</v>
      </c>
      <c r="H240">
        <f t="shared" si="97"/>
        <v>0</v>
      </c>
      <c r="I240"/>
      <c r="AV240">
        <v>239</v>
      </c>
      <c r="AW240" t="s">
        <v>165</v>
      </c>
      <c r="BM240">
        <v>239</v>
      </c>
      <c r="BN240" t="s">
        <v>165</v>
      </c>
      <c r="BO240" t="str">
        <f t="shared" si="93"/>
        <v>JOAO MELO</v>
      </c>
      <c r="BP240" t="b">
        <f>BO240=BN240</f>
        <v>1</v>
      </c>
    </row>
    <row r="241" spans="1:68">
      <c r="A241">
        <v>240</v>
      </c>
      <c r="B241" t="s">
        <v>166</v>
      </c>
      <c r="D241" t="s">
        <v>281</v>
      </c>
      <c r="E241">
        <f>COUNTIF($C$1:C241,C241)</f>
        <v>0</v>
      </c>
      <c r="F241" t="str">
        <f t="shared" si="92"/>
        <v>0</v>
      </c>
      <c r="G241">
        <f t="shared" si="96"/>
        <v>0</v>
      </c>
      <c r="H241">
        <f t="shared" si="97"/>
        <v>0</v>
      </c>
      <c r="I241"/>
      <c r="AV241">
        <v>240</v>
      </c>
      <c r="AW241" t="s">
        <v>166</v>
      </c>
      <c r="BM241">
        <v>240</v>
      </c>
      <c r="BN241" t="s">
        <v>166</v>
      </c>
      <c r="BO241" t="str">
        <f t="shared" si="93"/>
        <v>Naya</v>
      </c>
      <c r="BP241" t="b">
        <f>BO241=BN241</f>
        <v>1</v>
      </c>
    </row>
    <row r="242" spans="1:68">
      <c r="A242">
        <v>241</v>
      </c>
      <c r="B242" t="s">
        <v>331</v>
      </c>
      <c r="C242" s="1">
        <v>9144904255</v>
      </c>
      <c r="D242" t="s">
        <v>280</v>
      </c>
      <c r="E242">
        <f>COUNTIF($C$1:C242,C242)</f>
        <v>2</v>
      </c>
      <c r="F242" t="str">
        <f t="shared" si="92"/>
        <v>91449042552</v>
      </c>
      <c r="G242">
        <f t="shared" si="96"/>
        <v>1</v>
      </c>
      <c r="H242">
        <f t="shared" si="97"/>
        <v>0</v>
      </c>
      <c r="I242" s="12"/>
      <c r="J242" s="12"/>
      <c r="K242" s="12"/>
      <c r="L242" s="12"/>
      <c r="M242" s="12"/>
      <c r="AV242">
        <v>241</v>
      </c>
      <c r="AW242" t="s">
        <v>167</v>
      </c>
      <c r="BM242">
        <v>241</v>
      </c>
      <c r="BN242" t="s">
        <v>167</v>
      </c>
      <c r="BO242" t="str">
        <f t="shared" si="93"/>
        <v>CARLOS SERAFIM pg</v>
      </c>
      <c r="BP242" t="b">
        <v>1</v>
      </c>
    </row>
    <row r="243" spans="1:68">
      <c r="A243">
        <v>242</v>
      </c>
      <c r="B243" t="s">
        <v>359</v>
      </c>
      <c r="C243" s="1">
        <v>2039237387</v>
      </c>
      <c r="D243" t="s">
        <v>280</v>
      </c>
      <c r="E243">
        <f>COUNTIF($C$1:C243,C243)</f>
        <v>3</v>
      </c>
      <c r="F243" t="str">
        <f t="shared" si="92"/>
        <v>20392373873</v>
      </c>
      <c r="G243">
        <f t="shared" si="96"/>
        <v>1</v>
      </c>
      <c r="H243">
        <f t="shared" si="97"/>
        <v>0</v>
      </c>
      <c r="I243"/>
      <c r="AV243">
        <v>242</v>
      </c>
      <c r="AW243" t="s">
        <v>45</v>
      </c>
      <c r="BM243">
        <v>242</v>
      </c>
      <c r="BN243" t="s">
        <v>45</v>
      </c>
      <c r="BO243" t="str">
        <f t="shared" si="93"/>
        <v>LUCIANO Serjao pg</v>
      </c>
      <c r="BP243" t="b">
        <f>BO243=BN243</f>
        <v>0</v>
      </c>
    </row>
    <row r="244" spans="1:68">
      <c r="A244">
        <v>243</v>
      </c>
      <c r="B244" t="s">
        <v>168</v>
      </c>
      <c r="C244" s="1">
        <v>2033213501</v>
      </c>
      <c r="D244" t="s">
        <v>280</v>
      </c>
      <c r="E244">
        <f>COUNTIF($C$1:C244,C244)</f>
        <v>1</v>
      </c>
      <c r="F244" t="str">
        <f t="shared" si="92"/>
        <v>20332135011</v>
      </c>
      <c r="G244">
        <f t="shared" si="96"/>
        <v>1</v>
      </c>
      <c r="H244">
        <f t="shared" si="97"/>
        <v>0</v>
      </c>
      <c r="I244"/>
      <c r="AV244">
        <v>243</v>
      </c>
      <c r="AW244" t="s">
        <v>168</v>
      </c>
      <c r="BM244">
        <v>243</v>
      </c>
      <c r="BN244" t="s">
        <v>168</v>
      </c>
      <c r="BO244" t="str">
        <f t="shared" si="93"/>
        <v>PAPITO pg</v>
      </c>
      <c r="BP244" t="b">
        <f>BO244=BN244</f>
        <v>1</v>
      </c>
    </row>
    <row r="245" spans="1:68">
      <c r="A245">
        <v>244</v>
      </c>
      <c r="E245">
        <f>COUNTIF($C$1:C245,C245)</f>
        <v>0</v>
      </c>
      <c r="F245" t="str">
        <f t="shared" si="92"/>
        <v>0</v>
      </c>
      <c r="G245">
        <f t="shared" si="96"/>
        <v>0</v>
      </c>
      <c r="H245">
        <f t="shared" si="97"/>
        <v>0</v>
      </c>
      <c r="I245"/>
      <c r="AV245">
        <v>244</v>
      </c>
      <c r="AW245" t="s">
        <v>169</v>
      </c>
      <c r="BM245">
        <v>244</v>
      </c>
      <c r="BO245">
        <f t="shared" si="93"/>
        <v>0</v>
      </c>
      <c r="BP245" t="b">
        <f>BO245=BN245</f>
        <v>1</v>
      </c>
    </row>
    <row r="246" spans="1:68">
      <c r="A246">
        <v>245</v>
      </c>
      <c r="B246" t="s">
        <v>170</v>
      </c>
      <c r="C246" s="1">
        <v>5511976704883</v>
      </c>
      <c r="D246" t="s">
        <v>280</v>
      </c>
      <c r="E246">
        <f>COUNTIF($C$1:C246,C246)</f>
        <v>1</v>
      </c>
      <c r="F246" t="str">
        <f t="shared" si="92"/>
        <v>55119767048831</v>
      </c>
      <c r="G246">
        <f t="shared" si="96"/>
        <v>0</v>
      </c>
      <c r="H246">
        <f t="shared" si="97"/>
        <v>0</v>
      </c>
      <c r="I246"/>
      <c r="AV246">
        <v>245</v>
      </c>
      <c r="AW246" t="s">
        <v>170</v>
      </c>
      <c r="BM246">
        <v>245</v>
      </c>
      <c r="BN246" t="s">
        <v>170</v>
      </c>
      <c r="BO246" t="str">
        <f t="shared" si="93"/>
        <v>Ivan</v>
      </c>
      <c r="BP246" t="b">
        <f>BO246=BN246</f>
        <v>1</v>
      </c>
    </row>
    <row r="247" spans="1:68">
      <c r="A247">
        <v>246</v>
      </c>
      <c r="E247">
        <f>COUNTIF($C$1:C247,C247)</f>
        <v>0</v>
      </c>
      <c r="F247" t="str">
        <f t="shared" si="92"/>
        <v>0</v>
      </c>
      <c r="G247">
        <f t="shared" si="96"/>
        <v>0</v>
      </c>
      <c r="H247">
        <f t="shared" si="97"/>
        <v>0</v>
      </c>
      <c r="I247"/>
      <c r="AV247">
        <v>246</v>
      </c>
      <c r="BM247">
        <v>246</v>
      </c>
      <c r="BO247">
        <f t="shared" si="93"/>
        <v>0</v>
      </c>
      <c r="BP247" t="b">
        <f>BO247=BN247</f>
        <v>1</v>
      </c>
    </row>
    <row r="248" spans="1:68">
      <c r="A248">
        <v>247</v>
      </c>
      <c r="B248" t="s">
        <v>339</v>
      </c>
      <c r="C248" s="1">
        <v>2038361045</v>
      </c>
      <c r="D248" t="s">
        <v>280</v>
      </c>
      <c r="E248">
        <f>COUNTIF($C$1:C248,C248)</f>
        <v>1</v>
      </c>
      <c r="F248" t="str">
        <f t="shared" si="92"/>
        <v>20383610451</v>
      </c>
      <c r="G248">
        <f t="shared" si="96"/>
        <v>1</v>
      </c>
      <c r="H248">
        <f t="shared" si="97"/>
        <v>0</v>
      </c>
      <c r="I248"/>
      <c r="AV248">
        <v>247</v>
      </c>
      <c r="AW248" t="s">
        <v>171</v>
      </c>
      <c r="BM248">
        <v>247</v>
      </c>
      <c r="BN248" t="s">
        <v>171</v>
      </c>
      <c r="BO248" t="str">
        <f t="shared" si="93"/>
        <v>Ivo pg</v>
      </c>
      <c r="BP248" t="b">
        <v>1</v>
      </c>
    </row>
    <row r="249" spans="1:68">
      <c r="A249">
        <v>248</v>
      </c>
      <c r="E249">
        <f>COUNTIF($C$1:C249,C249)</f>
        <v>0</v>
      </c>
      <c r="F249" t="str">
        <f t="shared" si="92"/>
        <v>0</v>
      </c>
      <c r="G249">
        <f t="shared" si="96"/>
        <v>0</v>
      </c>
      <c r="H249">
        <f t="shared" si="97"/>
        <v>0</v>
      </c>
      <c r="I249"/>
      <c r="AV249">
        <v>248</v>
      </c>
      <c r="BM249">
        <v>248</v>
      </c>
      <c r="BO249">
        <f t="shared" si="93"/>
        <v>0</v>
      </c>
      <c r="BP249" t="b">
        <f t="shared" ref="BP249:BP263" si="98">BO249=BN249</f>
        <v>1</v>
      </c>
    </row>
    <row r="250" spans="1:68">
      <c r="A250">
        <v>249</v>
      </c>
      <c r="E250">
        <f>COUNTIF($C$1:C250,C250)</f>
        <v>0</v>
      </c>
      <c r="F250" t="str">
        <f t="shared" si="92"/>
        <v>0</v>
      </c>
      <c r="G250">
        <f t="shared" si="96"/>
        <v>0</v>
      </c>
      <c r="H250">
        <f t="shared" si="97"/>
        <v>0</v>
      </c>
      <c r="I250"/>
      <c r="AV250">
        <v>249</v>
      </c>
      <c r="BM250">
        <v>249</v>
      </c>
      <c r="BO250">
        <f t="shared" si="93"/>
        <v>0</v>
      </c>
      <c r="BP250" t="b">
        <f t="shared" si="98"/>
        <v>1</v>
      </c>
    </row>
    <row r="251" spans="1:68">
      <c r="A251">
        <v>250</v>
      </c>
      <c r="B251" t="s">
        <v>172</v>
      </c>
      <c r="C251" s="1">
        <v>4754590021</v>
      </c>
      <c r="D251" t="s">
        <v>280</v>
      </c>
      <c r="E251">
        <f>COUNTIF($C$1:C251,C251)</f>
        <v>1</v>
      </c>
      <c r="F251" t="str">
        <f t="shared" si="92"/>
        <v>47545900211</v>
      </c>
      <c r="G251">
        <f t="shared" si="96"/>
        <v>1</v>
      </c>
      <c r="H251">
        <f t="shared" si="97"/>
        <v>0</v>
      </c>
      <c r="I251"/>
      <c r="AV251">
        <v>250</v>
      </c>
      <c r="AW251" t="s">
        <v>172</v>
      </c>
      <c r="BM251">
        <v>250</v>
      </c>
      <c r="BN251" t="s">
        <v>172</v>
      </c>
      <c r="BO251" t="str">
        <f t="shared" si="93"/>
        <v>ROCHESTER pg</v>
      </c>
      <c r="BP251" t="b">
        <f t="shared" si="98"/>
        <v>1</v>
      </c>
    </row>
    <row r="252" spans="1:68">
      <c r="A252">
        <v>251</v>
      </c>
      <c r="B252" t="s">
        <v>173</v>
      </c>
      <c r="C252" s="1">
        <v>4754494453</v>
      </c>
      <c r="D252" t="s">
        <v>280</v>
      </c>
      <c r="E252">
        <f>COUNTIF($C$1:C252,C252)</f>
        <v>1</v>
      </c>
      <c r="F252" t="str">
        <f t="shared" si="92"/>
        <v>47544944531</v>
      </c>
      <c r="G252">
        <f t="shared" si="96"/>
        <v>0</v>
      </c>
      <c r="H252">
        <f t="shared" si="97"/>
        <v>0</v>
      </c>
      <c r="I252"/>
      <c r="AV252">
        <v>251</v>
      </c>
      <c r="AW252" t="s">
        <v>173</v>
      </c>
      <c r="BM252">
        <v>251</v>
      </c>
      <c r="BN252" t="s">
        <v>173</v>
      </c>
      <c r="BO252" t="str">
        <f t="shared" si="93"/>
        <v>ROSE</v>
      </c>
      <c r="BP252" t="b">
        <f t="shared" si="98"/>
        <v>1</v>
      </c>
    </row>
    <row r="253" spans="1:68">
      <c r="A253">
        <v>252</v>
      </c>
      <c r="E253">
        <f>COUNTIF($C$1:C253,C253)</f>
        <v>0</v>
      </c>
      <c r="F253" t="str">
        <f t="shared" si="92"/>
        <v>0</v>
      </c>
      <c r="G253">
        <f t="shared" si="96"/>
        <v>0</v>
      </c>
      <c r="H253">
        <f t="shared" si="97"/>
        <v>0</v>
      </c>
      <c r="I253"/>
      <c r="AV253">
        <v>252</v>
      </c>
      <c r="BM253">
        <v>252</v>
      </c>
      <c r="BO253">
        <f t="shared" si="93"/>
        <v>0</v>
      </c>
      <c r="BP253" t="b">
        <f t="shared" si="98"/>
        <v>1</v>
      </c>
    </row>
    <row r="254" spans="1:68">
      <c r="A254">
        <v>253</v>
      </c>
      <c r="E254">
        <f>COUNTIF($C$1:C254,C254)</f>
        <v>0</v>
      </c>
      <c r="F254" t="str">
        <f t="shared" si="92"/>
        <v>0</v>
      </c>
      <c r="G254">
        <f t="shared" si="96"/>
        <v>0</v>
      </c>
      <c r="H254">
        <f t="shared" si="97"/>
        <v>0</v>
      </c>
      <c r="I254"/>
      <c r="AV254">
        <v>253</v>
      </c>
      <c r="BM254">
        <v>253</v>
      </c>
      <c r="BO254">
        <f t="shared" si="93"/>
        <v>0</v>
      </c>
      <c r="BP254" t="b">
        <f t="shared" si="98"/>
        <v>1</v>
      </c>
    </row>
    <row r="255" spans="1:68">
      <c r="A255">
        <v>254</v>
      </c>
      <c r="B255" t="s">
        <v>174</v>
      </c>
      <c r="D255" t="s">
        <v>281</v>
      </c>
      <c r="E255">
        <f>COUNTIF($C$1:C255,C255)</f>
        <v>0</v>
      </c>
      <c r="F255" t="str">
        <f t="shared" si="92"/>
        <v>0</v>
      </c>
      <c r="G255">
        <f t="shared" si="96"/>
        <v>0</v>
      </c>
      <c r="H255">
        <f t="shared" si="97"/>
        <v>0</v>
      </c>
      <c r="I255"/>
      <c r="AV255">
        <v>254</v>
      </c>
      <c r="AW255" t="s">
        <v>174</v>
      </c>
      <c r="BM255">
        <v>254</v>
      </c>
      <c r="BN255" t="s">
        <v>174</v>
      </c>
      <c r="BO255" t="str">
        <f t="shared" si="93"/>
        <v>Rogério Cardoso</v>
      </c>
      <c r="BP255" t="b">
        <f t="shared" si="98"/>
        <v>1</v>
      </c>
    </row>
    <row r="256" spans="1:68">
      <c r="A256">
        <v>255</v>
      </c>
      <c r="B256" t="s">
        <v>141</v>
      </c>
      <c r="C256" s="1">
        <v>2032401199</v>
      </c>
      <c r="D256" t="s">
        <v>280</v>
      </c>
      <c r="E256">
        <f>COUNTIF($C$1:C256,C256)</f>
        <v>2</v>
      </c>
      <c r="F256" t="str">
        <f t="shared" si="92"/>
        <v>20324011992</v>
      </c>
      <c r="G256">
        <f t="shared" si="96"/>
        <v>1</v>
      </c>
      <c r="H256">
        <f t="shared" si="97"/>
        <v>0</v>
      </c>
      <c r="I256"/>
      <c r="AV256">
        <v>255</v>
      </c>
      <c r="AW256" t="s">
        <v>141</v>
      </c>
      <c r="BM256">
        <v>255</v>
      </c>
      <c r="BN256" t="s">
        <v>141</v>
      </c>
      <c r="BO256" t="str">
        <f t="shared" si="93"/>
        <v>Iza pg</v>
      </c>
      <c r="BP256" t="b">
        <f t="shared" si="98"/>
        <v>1</v>
      </c>
    </row>
    <row r="257" spans="1:68">
      <c r="A257">
        <v>256</v>
      </c>
      <c r="B257" t="s">
        <v>175</v>
      </c>
      <c r="C257" s="1">
        <v>2038078841</v>
      </c>
      <c r="D257" t="s">
        <v>280</v>
      </c>
      <c r="E257">
        <f>COUNTIF($C$1:C257,C257)</f>
        <v>1</v>
      </c>
      <c r="F257" t="str">
        <f t="shared" si="92"/>
        <v>20380788411</v>
      </c>
      <c r="G257">
        <f t="shared" si="96"/>
        <v>1</v>
      </c>
      <c r="H257">
        <f t="shared" si="97"/>
        <v>0</v>
      </c>
      <c r="I257"/>
      <c r="AV257">
        <v>256</v>
      </c>
      <c r="AW257" t="s">
        <v>175</v>
      </c>
      <c r="BM257">
        <v>256</v>
      </c>
      <c r="BN257" t="s">
        <v>175</v>
      </c>
      <c r="BO257" t="str">
        <f t="shared" si="93"/>
        <v>RONI pg</v>
      </c>
      <c r="BP257" t="b">
        <f t="shared" si="98"/>
        <v>1</v>
      </c>
    </row>
    <row r="258" spans="1:68">
      <c r="A258">
        <v>257</v>
      </c>
      <c r="B258" t="s">
        <v>156</v>
      </c>
      <c r="C258" s="1">
        <v>9142270568</v>
      </c>
      <c r="D258" t="s">
        <v>280</v>
      </c>
      <c r="E258">
        <f>COUNTIF($C$1:C258,C258)</f>
        <v>3</v>
      </c>
      <c r="F258" t="str">
        <f t="shared" ref="F258:F321" si="99">C258&amp;E258</f>
        <v>91422705683</v>
      </c>
      <c r="G258">
        <f t="shared" si="96"/>
        <v>0</v>
      </c>
      <c r="H258">
        <f t="shared" si="97"/>
        <v>0</v>
      </c>
      <c r="I258" s="12"/>
      <c r="J258" s="12"/>
      <c r="K258" s="12"/>
      <c r="L258" s="12"/>
      <c r="M258" s="12"/>
      <c r="AV258">
        <v>257</v>
      </c>
      <c r="AW258" t="s">
        <v>156</v>
      </c>
      <c r="BM258">
        <v>257</v>
      </c>
      <c r="BN258" t="s">
        <v>156</v>
      </c>
      <c r="BO258" t="str">
        <f t="shared" ref="BO258:BO321" si="100">VLOOKUP(BM258,A:B,2,0)</f>
        <v>DANILEX</v>
      </c>
      <c r="BP258" t="b">
        <f t="shared" si="98"/>
        <v>1</v>
      </c>
    </row>
    <row r="259" spans="1:68">
      <c r="A259">
        <v>258</v>
      </c>
      <c r="E259">
        <f>COUNTIF($C$1:C259,C259)</f>
        <v>0</v>
      </c>
      <c r="F259" t="str">
        <f t="shared" si="99"/>
        <v>0</v>
      </c>
      <c r="G259">
        <f t="shared" si="96"/>
        <v>0</v>
      </c>
      <c r="H259">
        <f t="shared" si="97"/>
        <v>0</v>
      </c>
      <c r="I259"/>
      <c r="AV259">
        <v>258</v>
      </c>
      <c r="BM259">
        <v>258</v>
      </c>
      <c r="BO259">
        <f t="shared" si="100"/>
        <v>0</v>
      </c>
      <c r="BP259" t="b">
        <f t="shared" si="98"/>
        <v>1</v>
      </c>
    </row>
    <row r="260" spans="1:68">
      <c r="A260">
        <v>259</v>
      </c>
      <c r="B260" t="s">
        <v>176</v>
      </c>
      <c r="C260" s="1">
        <v>9147602272</v>
      </c>
      <c r="D260" t="s">
        <v>280</v>
      </c>
      <c r="E260">
        <f>COUNTIF($C$1:C260,C260)</f>
        <v>5</v>
      </c>
      <c r="F260" t="str">
        <f t="shared" si="99"/>
        <v>91476022725</v>
      </c>
      <c r="G260">
        <f t="shared" si="96"/>
        <v>0</v>
      </c>
      <c r="H260">
        <f t="shared" si="97"/>
        <v>0</v>
      </c>
      <c r="I260"/>
      <c r="AV260">
        <v>259</v>
      </c>
      <c r="AW260" t="s">
        <v>176</v>
      </c>
      <c r="BM260">
        <v>259</v>
      </c>
      <c r="BN260" t="s">
        <v>176</v>
      </c>
      <c r="BO260" t="str">
        <f t="shared" si="100"/>
        <v>Rafael Melo (Dalton)</v>
      </c>
      <c r="BP260" t="b">
        <f t="shared" si="98"/>
        <v>1</v>
      </c>
    </row>
    <row r="261" spans="1:68">
      <c r="A261">
        <v>260</v>
      </c>
      <c r="B261" t="s">
        <v>376</v>
      </c>
      <c r="C261" s="1">
        <v>5511961917900</v>
      </c>
      <c r="D261" t="s">
        <v>280</v>
      </c>
      <c r="E261">
        <f>COUNTIF($C$1:C261,C261)</f>
        <v>3</v>
      </c>
      <c r="F261" t="str">
        <f t="shared" si="99"/>
        <v>55119619179003</v>
      </c>
      <c r="G261">
        <f t="shared" si="96"/>
        <v>0</v>
      </c>
      <c r="H261">
        <f t="shared" si="97"/>
        <v>1</v>
      </c>
      <c r="I261"/>
      <c r="AV261">
        <v>260</v>
      </c>
      <c r="AW261" t="s">
        <v>177</v>
      </c>
      <c r="BM261">
        <v>260</v>
      </c>
      <c r="BN261" t="s">
        <v>177</v>
      </c>
      <c r="BO261" t="str">
        <f t="shared" si="100"/>
        <v>Karla Panela (f)</v>
      </c>
      <c r="BP261" t="b">
        <f t="shared" si="98"/>
        <v>0</v>
      </c>
    </row>
    <row r="262" spans="1:68">
      <c r="A262">
        <v>261</v>
      </c>
      <c r="E262">
        <f>COUNTIF($C$1:C262,C262)</f>
        <v>0</v>
      </c>
      <c r="F262" t="str">
        <f t="shared" si="99"/>
        <v>0</v>
      </c>
      <c r="G262">
        <f t="shared" si="96"/>
        <v>0</v>
      </c>
      <c r="H262">
        <f t="shared" si="97"/>
        <v>0</v>
      </c>
      <c r="I262"/>
      <c r="AV262">
        <v>261</v>
      </c>
      <c r="BM262">
        <v>261</v>
      </c>
      <c r="BO262">
        <f t="shared" si="100"/>
        <v>0</v>
      </c>
      <c r="BP262" t="b">
        <f t="shared" si="98"/>
        <v>1</v>
      </c>
    </row>
    <row r="263" spans="1:68">
      <c r="A263">
        <v>262</v>
      </c>
      <c r="E263">
        <f>COUNTIF($C$1:C263,C263)</f>
        <v>0</v>
      </c>
      <c r="F263" t="str">
        <f t="shared" si="99"/>
        <v>0</v>
      </c>
      <c r="G263">
        <f t="shared" si="96"/>
        <v>0</v>
      </c>
      <c r="H263">
        <f t="shared" si="97"/>
        <v>0</v>
      </c>
      <c r="I263"/>
      <c r="AV263">
        <v>262</v>
      </c>
      <c r="BM263">
        <v>262</v>
      </c>
      <c r="BO263">
        <f t="shared" si="100"/>
        <v>0</v>
      </c>
      <c r="BP263" t="b">
        <f t="shared" si="98"/>
        <v>1</v>
      </c>
    </row>
    <row r="264" spans="1:68">
      <c r="A264">
        <v>263</v>
      </c>
      <c r="B264" t="s">
        <v>302</v>
      </c>
      <c r="C264" s="1">
        <v>9144386604</v>
      </c>
      <c r="D264" t="s">
        <v>280</v>
      </c>
      <c r="E264">
        <f>COUNTIF($C$1:C264,C264)</f>
        <v>1</v>
      </c>
      <c r="F264" t="str">
        <f t="shared" si="99"/>
        <v>91443866041</v>
      </c>
      <c r="G264">
        <f t="shared" si="96"/>
        <v>1</v>
      </c>
      <c r="H264">
        <f t="shared" si="97"/>
        <v>0</v>
      </c>
      <c r="I264" s="12"/>
      <c r="J264" s="12"/>
      <c r="K264" s="12"/>
      <c r="L264" s="12"/>
      <c r="M264" s="12"/>
      <c r="AV264">
        <v>263</v>
      </c>
      <c r="AW264" t="s">
        <v>178</v>
      </c>
      <c r="BM264">
        <v>263</v>
      </c>
      <c r="BN264" t="s">
        <v>178</v>
      </c>
      <c r="BO264" t="str">
        <f t="shared" si="100"/>
        <v>Alan pg</v>
      </c>
      <c r="BP264" t="b">
        <v>1</v>
      </c>
    </row>
    <row r="265" spans="1:68">
      <c r="A265">
        <v>264</v>
      </c>
      <c r="B265" t="s">
        <v>377</v>
      </c>
      <c r="C265" s="1">
        <v>2032401199</v>
      </c>
      <c r="D265" t="s">
        <v>280</v>
      </c>
      <c r="E265">
        <f>COUNTIF($C$1:C265,C265)</f>
        <v>3</v>
      </c>
      <c r="F265" t="str">
        <f t="shared" si="99"/>
        <v>20324011993</v>
      </c>
      <c r="G265">
        <f t="shared" si="96"/>
        <v>0</v>
      </c>
      <c r="H265">
        <f t="shared" si="97"/>
        <v>1</v>
      </c>
      <c r="I265"/>
      <c r="AV265">
        <v>264</v>
      </c>
      <c r="AW265" t="s">
        <v>179</v>
      </c>
      <c r="BM265">
        <v>264</v>
      </c>
      <c r="BN265" t="s">
        <v>179</v>
      </c>
      <c r="BO265" t="str">
        <f t="shared" si="100"/>
        <v>Iza (f)</v>
      </c>
      <c r="BP265" t="b">
        <f>BO265=BN265</f>
        <v>0</v>
      </c>
    </row>
    <row r="266" spans="1:68">
      <c r="A266">
        <v>265</v>
      </c>
      <c r="B266" t="s">
        <v>309</v>
      </c>
      <c r="C266" s="1">
        <v>2034494860</v>
      </c>
      <c r="D266" t="s">
        <v>280</v>
      </c>
      <c r="E266">
        <f>COUNTIF($C$1:C266,C266)</f>
        <v>2</v>
      </c>
      <c r="F266" t="str">
        <f t="shared" si="99"/>
        <v>20344948602</v>
      </c>
      <c r="G266">
        <f t="shared" si="96"/>
        <v>1</v>
      </c>
      <c r="H266">
        <f t="shared" si="97"/>
        <v>0</v>
      </c>
      <c r="I266"/>
      <c r="AV266">
        <v>265</v>
      </c>
      <c r="AW266" t="s">
        <v>136</v>
      </c>
      <c r="BM266">
        <v>265</v>
      </c>
      <c r="BN266" t="s">
        <v>136</v>
      </c>
      <c r="BO266" t="str">
        <f t="shared" si="100"/>
        <v>SARMENTO pg</v>
      </c>
      <c r="BP266" t="b">
        <v>1</v>
      </c>
    </row>
    <row r="267" spans="1:68">
      <c r="A267">
        <v>266</v>
      </c>
      <c r="B267" t="s">
        <v>180</v>
      </c>
      <c r="C267" s="1">
        <v>9146203904</v>
      </c>
      <c r="D267" t="s">
        <v>280</v>
      </c>
      <c r="E267">
        <f>COUNTIF($C$1:C267,C267)</f>
        <v>1</v>
      </c>
      <c r="F267" t="str">
        <f t="shared" si="99"/>
        <v>91462039041</v>
      </c>
      <c r="G267">
        <f t="shared" si="96"/>
        <v>0</v>
      </c>
      <c r="H267">
        <f t="shared" si="97"/>
        <v>0</v>
      </c>
      <c r="I267"/>
      <c r="AV267">
        <v>266</v>
      </c>
      <c r="AW267" t="s">
        <v>180</v>
      </c>
      <c r="BM267">
        <v>266</v>
      </c>
      <c r="BN267" t="s">
        <v>180</v>
      </c>
      <c r="BO267" t="str">
        <f t="shared" si="100"/>
        <v>José tile</v>
      </c>
      <c r="BP267" t="b">
        <f>BO267=BN267</f>
        <v>1</v>
      </c>
    </row>
    <row r="268" spans="1:68">
      <c r="A268">
        <v>267</v>
      </c>
      <c r="B268" t="s">
        <v>181</v>
      </c>
      <c r="C268" s="1">
        <v>2038982085</v>
      </c>
      <c r="D268" t="s">
        <v>280</v>
      </c>
      <c r="E268">
        <f>COUNTIF($C$1:C268,C268)</f>
        <v>1</v>
      </c>
      <c r="F268" t="str">
        <f t="shared" si="99"/>
        <v>20389820851</v>
      </c>
      <c r="G268">
        <f t="shared" si="96"/>
        <v>0</v>
      </c>
      <c r="H268">
        <f t="shared" si="97"/>
        <v>0</v>
      </c>
      <c r="I268" s="12"/>
      <c r="J268" s="12"/>
      <c r="K268" s="12"/>
      <c r="L268" s="12"/>
      <c r="M268" s="12"/>
      <c r="AV268">
        <v>267</v>
      </c>
      <c r="AW268" t="s">
        <v>181</v>
      </c>
      <c r="BM268">
        <v>267</v>
      </c>
      <c r="BN268" t="s">
        <v>181</v>
      </c>
      <c r="BO268" t="str">
        <f t="shared" si="100"/>
        <v>Fabricio</v>
      </c>
      <c r="BP268" t="b">
        <f>BO268=BN268</f>
        <v>1</v>
      </c>
    </row>
    <row r="269" spans="1:68">
      <c r="A269">
        <v>268</v>
      </c>
      <c r="B269" t="s">
        <v>182</v>
      </c>
      <c r="C269" s="1">
        <v>2038209096</v>
      </c>
      <c r="D269" t="s">
        <v>280</v>
      </c>
      <c r="E269">
        <f>COUNTIF($C$1:C269,C269)</f>
        <v>2</v>
      </c>
      <c r="F269" t="str">
        <f t="shared" si="99"/>
        <v>20382090962</v>
      </c>
      <c r="G269">
        <f t="shared" si="96"/>
        <v>0</v>
      </c>
      <c r="H269">
        <f t="shared" si="97"/>
        <v>0</v>
      </c>
      <c r="I269"/>
      <c r="AV269">
        <v>268</v>
      </c>
      <c r="AW269" t="s">
        <v>182</v>
      </c>
      <c r="BM269">
        <v>268</v>
      </c>
      <c r="BN269" t="s">
        <v>182</v>
      </c>
      <c r="BO269" t="str">
        <f t="shared" si="100"/>
        <v>VALENTINA</v>
      </c>
      <c r="BP269" t="b">
        <f>BO269=BN269</f>
        <v>1</v>
      </c>
    </row>
    <row r="270" spans="1:68">
      <c r="A270">
        <v>269</v>
      </c>
      <c r="B270" t="s">
        <v>159</v>
      </c>
      <c r="C270" s="1">
        <v>2039233002</v>
      </c>
      <c r="D270" t="s">
        <v>280</v>
      </c>
      <c r="E270">
        <f>COUNTIF($C$1:C270,C270)</f>
        <v>2</v>
      </c>
      <c r="F270" t="str">
        <f t="shared" si="99"/>
        <v>20392330022</v>
      </c>
      <c r="G270">
        <f t="shared" si="96"/>
        <v>0</v>
      </c>
      <c r="H270">
        <f t="shared" si="97"/>
        <v>0</v>
      </c>
      <c r="I270" s="12"/>
      <c r="J270" s="12"/>
      <c r="K270" s="12"/>
      <c r="L270" s="12"/>
      <c r="M270" s="12"/>
      <c r="AV270">
        <v>269</v>
      </c>
      <c r="AW270" t="s">
        <v>159</v>
      </c>
      <c r="BM270">
        <v>269</v>
      </c>
      <c r="BN270" t="s">
        <v>159</v>
      </c>
      <c r="BO270" t="str">
        <f t="shared" si="100"/>
        <v>FELIX COSTA</v>
      </c>
      <c r="BP270" t="b">
        <f>BO270=BN270</f>
        <v>1</v>
      </c>
    </row>
    <row r="271" spans="1:68">
      <c r="A271">
        <v>270</v>
      </c>
      <c r="B271" t="s">
        <v>170</v>
      </c>
      <c r="C271" s="1">
        <v>5511976704883</v>
      </c>
      <c r="D271" t="s">
        <v>280</v>
      </c>
      <c r="E271">
        <f>COUNTIF($C$1:C271,C271)</f>
        <v>2</v>
      </c>
      <c r="F271" t="str">
        <f t="shared" si="99"/>
        <v>55119767048832</v>
      </c>
      <c r="G271">
        <f t="shared" si="96"/>
        <v>0</v>
      </c>
      <c r="H271">
        <f t="shared" si="97"/>
        <v>0</v>
      </c>
      <c r="I271"/>
      <c r="AV271">
        <v>270</v>
      </c>
      <c r="AW271" t="s">
        <v>170</v>
      </c>
      <c r="BM271">
        <v>270</v>
      </c>
      <c r="BN271" t="s">
        <v>170</v>
      </c>
      <c r="BO271" t="str">
        <f t="shared" si="100"/>
        <v>Ivan</v>
      </c>
      <c r="BP271" t="b">
        <f>BO271=BN271</f>
        <v>1</v>
      </c>
    </row>
    <row r="272" spans="1:68">
      <c r="A272">
        <v>271</v>
      </c>
      <c r="B272" t="s">
        <v>378</v>
      </c>
      <c r="C272" s="1">
        <v>8455279933</v>
      </c>
      <c r="D272" t="s">
        <v>280</v>
      </c>
      <c r="E272">
        <f>COUNTIF($C$1:C272,C272)</f>
        <v>1</v>
      </c>
      <c r="F272" t="str">
        <f t="shared" si="99"/>
        <v>84552799331</v>
      </c>
      <c r="G272">
        <f t="shared" si="96"/>
        <v>0</v>
      </c>
      <c r="H272">
        <f t="shared" si="97"/>
        <v>1</v>
      </c>
      <c r="I272"/>
      <c r="AV272">
        <v>271</v>
      </c>
      <c r="AW272" t="s">
        <v>183</v>
      </c>
      <c r="BM272">
        <v>271</v>
      </c>
      <c r="BN272" t="s">
        <v>183</v>
      </c>
      <c r="BO272" t="str">
        <f t="shared" si="100"/>
        <v>Marília / Fábio (f)</v>
      </c>
      <c r="BP272" t="b">
        <v>1</v>
      </c>
    </row>
    <row r="273" spans="1:68">
      <c r="A273">
        <v>272</v>
      </c>
      <c r="B273" t="s">
        <v>107</v>
      </c>
      <c r="C273" s="1">
        <v>9146095697</v>
      </c>
      <c r="D273" t="s">
        <v>280</v>
      </c>
      <c r="E273">
        <f>COUNTIF($C$1:C273,C273)</f>
        <v>2</v>
      </c>
      <c r="F273" t="str">
        <f t="shared" si="99"/>
        <v>91460956972</v>
      </c>
      <c r="G273">
        <f t="shared" si="96"/>
        <v>1</v>
      </c>
      <c r="H273">
        <f t="shared" si="97"/>
        <v>0</v>
      </c>
      <c r="I273"/>
      <c r="AV273">
        <v>272</v>
      </c>
      <c r="AW273" t="s">
        <v>107</v>
      </c>
      <c r="BM273">
        <v>272</v>
      </c>
      <c r="BN273" t="s">
        <v>107</v>
      </c>
      <c r="BO273" t="str">
        <f t="shared" si="100"/>
        <v>L&amp;m wood floor pg</v>
      </c>
      <c r="BP273" t="b">
        <f>BO273=BN273</f>
        <v>1</v>
      </c>
    </row>
    <row r="274" spans="1:68">
      <c r="A274">
        <v>273</v>
      </c>
      <c r="B274" t="s">
        <v>308</v>
      </c>
      <c r="C274" s="1">
        <v>9735172499</v>
      </c>
      <c r="D274" t="s">
        <v>280</v>
      </c>
      <c r="E274">
        <f>COUNTIF($C$1:C274,C274)</f>
        <v>1</v>
      </c>
      <c r="F274" t="str">
        <f t="shared" si="99"/>
        <v>97351724991</v>
      </c>
      <c r="G274">
        <f t="shared" si="96"/>
        <v>1</v>
      </c>
      <c r="H274">
        <f t="shared" si="97"/>
        <v>0</v>
      </c>
      <c r="I274" s="12"/>
      <c r="J274" s="12"/>
      <c r="K274" s="12"/>
      <c r="L274" s="12"/>
      <c r="M274" s="12"/>
      <c r="AV274">
        <v>273</v>
      </c>
      <c r="AW274" t="s">
        <v>184</v>
      </c>
      <c r="BM274">
        <v>273</v>
      </c>
      <c r="BN274" t="s">
        <v>184</v>
      </c>
      <c r="BO274" t="str">
        <f t="shared" si="100"/>
        <v>BOCAO pg</v>
      </c>
      <c r="BP274" t="b">
        <v>1</v>
      </c>
    </row>
    <row r="275" spans="1:68">
      <c r="A275">
        <v>274</v>
      </c>
      <c r="B275" t="s">
        <v>185</v>
      </c>
      <c r="C275" s="1">
        <v>8455279933</v>
      </c>
      <c r="D275" t="s">
        <v>280</v>
      </c>
      <c r="E275">
        <f>COUNTIF($C$1:C275,C275)</f>
        <v>2</v>
      </c>
      <c r="F275" t="str">
        <f t="shared" si="99"/>
        <v>84552799332</v>
      </c>
      <c r="G275">
        <f t="shared" si="96"/>
        <v>0</v>
      </c>
      <c r="H275">
        <f t="shared" si="97"/>
        <v>0</v>
      </c>
      <c r="I275" s="12"/>
      <c r="J275" s="12"/>
      <c r="K275" s="12"/>
      <c r="L275" s="12"/>
      <c r="M275" s="12"/>
      <c r="AV275">
        <v>274</v>
      </c>
      <c r="AW275" t="s">
        <v>185</v>
      </c>
      <c r="BM275">
        <v>274</v>
      </c>
      <c r="BN275" t="s">
        <v>185</v>
      </c>
      <c r="BO275" t="str">
        <f t="shared" si="100"/>
        <v>Ana Laura Gregório (Marília)</v>
      </c>
      <c r="BP275" t="b">
        <f>BO275=BN275</f>
        <v>1</v>
      </c>
    </row>
    <row r="276" spans="1:68">
      <c r="A276">
        <v>275</v>
      </c>
      <c r="B276" t="s">
        <v>186</v>
      </c>
      <c r="C276" s="1">
        <v>9146095697</v>
      </c>
      <c r="D276" t="s">
        <v>280</v>
      </c>
      <c r="E276">
        <f>COUNTIF($C$1:C276,C276)</f>
        <v>3</v>
      </c>
      <c r="F276" t="str">
        <f t="shared" si="99"/>
        <v>91460956973</v>
      </c>
      <c r="G276">
        <f t="shared" si="96"/>
        <v>1</v>
      </c>
      <c r="H276">
        <f t="shared" si="97"/>
        <v>0</v>
      </c>
      <c r="I276"/>
      <c r="AV276">
        <v>275</v>
      </c>
      <c r="AW276" t="s">
        <v>186</v>
      </c>
      <c r="BM276">
        <v>275</v>
      </c>
      <c r="BN276" t="s">
        <v>186</v>
      </c>
      <c r="BO276" t="str">
        <f t="shared" si="100"/>
        <v>L&amp;M WOOD FLOOR pg</v>
      </c>
      <c r="BP276" t="b">
        <f>BO276=BN276</f>
        <v>1</v>
      </c>
    </row>
    <row r="277" spans="1:68">
      <c r="A277">
        <v>276</v>
      </c>
      <c r="B277" t="s">
        <v>334</v>
      </c>
      <c r="C277" s="1">
        <v>8455279933</v>
      </c>
      <c r="D277" t="s">
        <v>280</v>
      </c>
      <c r="E277">
        <f>COUNTIF($C$1:C277,C277)</f>
        <v>3</v>
      </c>
      <c r="F277" t="str">
        <f t="shared" si="99"/>
        <v>84552799333</v>
      </c>
      <c r="G277">
        <f t="shared" si="96"/>
        <v>1</v>
      </c>
      <c r="H277">
        <f t="shared" si="97"/>
        <v>0</v>
      </c>
      <c r="I277"/>
      <c r="AV277">
        <v>276</v>
      </c>
      <c r="AW277" t="s">
        <v>187</v>
      </c>
      <c r="BM277">
        <v>276</v>
      </c>
      <c r="BN277" t="s">
        <v>187</v>
      </c>
      <c r="BO277" t="str">
        <f t="shared" si="100"/>
        <v>Marília /fabio pg</v>
      </c>
      <c r="BP277" t="b">
        <v>1</v>
      </c>
    </row>
    <row r="278" spans="1:68">
      <c r="A278">
        <v>277</v>
      </c>
      <c r="B278" t="s">
        <v>340</v>
      </c>
      <c r="C278" s="1">
        <v>9144695805</v>
      </c>
      <c r="D278" t="s">
        <v>280</v>
      </c>
      <c r="E278">
        <f>COUNTIF($C$1:C278,C278)</f>
        <v>2</v>
      </c>
      <c r="F278" t="str">
        <f t="shared" si="99"/>
        <v>91446958052</v>
      </c>
      <c r="G278">
        <f t="shared" si="96"/>
        <v>1</v>
      </c>
      <c r="H278">
        <f t="shared" si="97"/>
        <v>0</v>
      </c>
      <c r="I278"/>
      <c r="AV278">
        <v>277</v>
      </c>
      <c r="AW278" t="s">
        <v>188</v>
      </c>
      <c r="BM278">
        <v>277</v>
      </c>
      <c r="BN278" t="s">
        <v>188</v>
      </c>
      <c r="BO278" t="str">
        <f t="shared" si="100"/>
        <v>JOAO BATISTA pg</v>
      </c>
      <c r="BP278" t="b">
        <v>1</v>
      </c>
    </row>
    <row r="279" spans="1:68">
      <c r="A279">
        <v>278</v>
      </c>
      <c r="E279">
        <f>COUNTIF($C$1:C279,C279)</f>
        <v>0</v>
      </c>
      <c r="F279" t="str">
        <f t="shared" si="99"/>
        <v>0</v>
      </c>
      <c r="G279">
        <f t="shared" si="96"/>
        <v>0</v>
      </c>
      <c r="H279">
        <f t="shared" si="97"/>
        <v>0</v>
      </c>
      <c r="I279"/>
      <c r="AV279">
        <v>278</v>
      </c>
      <c r="BM279">
        <v>278</v>
      </c>
      <c r="BO279">
        <f t="shared" si="100"/>
        <v>0</v>
      </c>
      <c r="BP279" t="b">
        <f t="shared" ref="BP279:BP298" si="101">BO279=BN279</f>
        <v>1</v>
      </c>
    </row>
    <row r="280" spans="1:68">
      <c r="A280">
        <v>279</v>
      </c>
      <c r="B280" t="s">
        <v>380</v>
      </c>
      <c r="C280" s="1">
        <v>2035218381</v>
      </c>
      <c r="D280" t="s">
        <v>280</v>
      </c>
      <c r="E280">
        <f>COUNTIF($C$1:C280,C280)</f>
        <v>4</v>
      </c>
      <c r="F280" t="str">
        <f t="shared" si="99"/>
        <v>20352183814</v>
      </c>
      <c r="G280">
        <f t="shared" si="96"/>
        <v>0</v>
      </c>
      <c r="H280">
        <f t="shared" si="97"/>
        <v>1</v>
      </c>
      <c r="I280" s="12"/>
      <c r="J280" s="12"/>
      <c r="K280" s="12"/>
      <c r="L280" s="12"/>
      <c r="M280" s="12"/>
      <c r="AV280">
        <v>279</v>
      </c>
      <c r="AW280" t="s">
        <v>189</v>
      </c>
      <c r="BM280">
        <v>279</v>
      </c>
      <c r="BN280" t="s">
        <v>189</v>
      </c>
      <c r="BO280" t="str">
        <f t="shared" si="100"/>
        <v>Gilmar Schmidt (f)</v>
      </c>
      <c r="BP280" t="b">
        <f t="shared" si="101"/>
        <v>0</v>
      </c>
    </row>
    <row r="281" spans="1:68">
      <c r="A281">
        <v>280</v>
      </c>
      <c r="B281" t="s">
        <v>190</v>
      </c>
      <c r="C281" s="1">
        <v>9148446172</v>
      </c>
      <c r="D281" t="s">
        <v>280</v>
      </c>
      <c r="E281">
        <f>COUNTIF($C$1:C281,C281)</f>
        <v>1</v>
      </c>
      <c r="F281" t="str">
        <f t="shared" si="99"/>
        <v>91484461721</v>
      </c>
      <c r="G281">
        <f t="shared" si="96"/>
        <v>0</v>
      </c>
      <c r="H281">
        <f t="shared" si="97"/>
        <v>0</v>
      </c>
      <c r="I281"/>
      <c r="AV281">
        <v>280</v>
      </c>
      <c r="AW281" t="s">
        <v>190</v>
      </c>
      <c r="BM281">
        <v>280</v>
      </c>
      <c r="BN281" t="s">
        <v>190</v>
      </c>
      <c r="BO281" t="str">
        <f t="shared" si="100"/>
        <v>Sônia da Deli (Salvador )</v>
      </c>
      <c r="BP281" t="b">
        <f t="shared" si="101"/>
        <v>1</v>
      </c>
    </row>
    <row r="282" spans="1:68">
      <c r="A282">
        <v>281</v>
      </c>
      <c r="B282" t="s">
        <v>191</v>
      </c>
      <c r="C282" s="1">
        <v>9148446172</v>
      </c>
      <c r="D282" t="s">
        <v>292</v>
      </c>
      <c r="E282">
        <f>COUNTIF($C$1:C282,C282)</f>
        <v>2</v>
      </c>
      <c r="F282" t="str">
        <f t="shared" si="99"/>
        <v>91484461722</v>
      </c>
      <c r="G282">
        <f t="shared" si="96"/>
        <v>0</v>
      </c>
      <c r="H282">
        <f t="shared" si="97"/>
        <v>0</v>
      </c>
      <c r="I282"/>
      <c r="AV282">
        <v>281</v>
      </c>
      <c r="AW282" t="s">
        <v>191</v>
      </c>
      <c r="BM282">
        <v>281</v>
      </c>
      <c r="BN282" t="s">
        <v>191</v>
      </c>
      <c r="BO282" t="str">
        <f t="shared" si="100"/>
        <v>Luís guevara</v>
      </c>
      <c r="BP282" t="b">
        <f t="shared" si="101"/>
        <v>1</v>
      </c>
    </row>
    <row r="283" spans="1:68">
      <c r="A283">
        <v>282</v>
      </c>
      <c r="B283" t="s">
        <v>78</v>
      </c>
      <c r="C283" s="1">
        <v>9143918505</v>
      </c>
      <c r="D283" t="s">
        <v>280</v>
      </c>
      <c r="E283">
        <f>COUNTIF($C$1:C283,C283)</f>
        <v>2</v>
      </c>
      <c r="F283" t="str">
        <f t="shared" si="99"/>
        <v>91439185052</v>
      </c>
      <c r="G283">
        <f t="shared" si="96"/>
        <v>0</v>
      </c>
      <c r="H283">
        <f t="shared" si="97"/>
        <v>0</v>
      </c>
      <c r="I283" s="12"/>
      <c r="J283" s="12"/>
      <c r="K283" s="12"/>
      <c r="L283" s="12"/>
      <c r="M283" s="12"/>
      <c r="AV283">
        <v>282</v>
      </c>
      <c r="AW283" t="s">
        <v>78</v>
      </c>
      <c r="BM283">
        <v>282</v>
      </c>
      <c r="BN283" t="s">
        <v>78</v>
      </c>
      <c r="BO283" t="str">
        <f t="shared" si="100"/>
        <v>ADRIANO</v>
      </c>
      <c r="BP283" t="b">
        <f t="shared" si="101"/>
        <v>1</v>
      </c>
    </row>
    <row r="284" spans="1:68">
      <c r="A284">
        <v>283</v>
      </c>
      <c r="B284" t="s">
        <v>100</v>
      </c>
      <c r="C284" s="1">
        <v>9145650041</v>
      </c>
      <c r="D284" t="s">
        <v>280</v>
      </c>
      <c r="E284">
        <f>COUNTIF($C$1:C284,C284)</f>
        <v>3</v>
      </c>
      <c r="F284" t="str">
        <f t="shared" si="99"/>
        <v>91456500413</v>
      </c>
      <c r="G284">
        <f t="shared" si="96"/>
        <v>0</v>
      </c>
      <c r="H284">
        <f t="shared" si="97"/>
        <v>0</v>
      </c>
      <c r="I284" s="12"/>
      <c r="J284" s="12"/>
      <c r="K284" s="12"/>
      <c r="L284" s="12"/>
      <c r="M284" s="12"/>
      <c r="AV284">
        <v>283</v>
      </c>
      <c r="AW284" t="s">
        <v>100</v>
      </c>
      <c r="BM284">
        <v>283</v>
      </c>
      <c r="BN284" t="s">
        <v>100</v>
      </c>
      <c r="BO284" t="str">
        <f t="shared" si="100"/>
        <v>HERNANE</v>
      </c>
      <c r="BP284" t="b">
        <f t="shared" si="101"/>
        <v>1</v>
      </c>
    </row>
    <row r="285" spans="1:68">
      <c r="A285">
        <v>284</v>
      </c>
      <c r="E285">
        <f>COUNTIF($C$1:C285,C285)</f>
        <v>0</v>
      </c>
      <c r="F285" t="str">
        <f t="shared" si="99"/>
        <v>0</v>
      </c>
      <c r="G285">
        <f t="shared" si="96"/>
        <v>0</v>
      </c>
      <c r="H285">
        <f t="shared" si="97"/>
        <v>0</v>
      </c>
      <c r="I285"/>
      <c r="AV285">
        <v>284</v>
      </c>
      <c r="BM285">
        <v>284</v>
      </c>
      <c r="BO285">
        <f t="shared" si="100"/>
        <v>0</v>
      </c>
      <c r="BP285" t="b">
        <f t="shared" si="101"/>
        <v>1</v>
      </c>
    </row>
    <row r="286" spans="1:68">
      <c r="A286">
        <v>285</v>
      </c>
      <c r="B286" t="s">
        <v>347</v>
      </c>
      <c r="C286" s="1">
        <v>2035229574</v>
      </c>
      <c r="D286" t="s">
        <v>280</v>
      </c>
      <c r="E286">
        <f>COUNTIF($C$1:C286,C286)</f>
        <v>5</v>
      </c>
      <c r="F286" t="str">
        <f t="shared" si="99"/>
        <v>20352295745</v>
      </c>
      <c r="G286">
        <f t="shared" si="96"/>
        <v>0</v>
      </c>
      <c r="H286">
        <f t="shared" si="97"/>
        <v>0</v>
      </c>
      <c r="I286" s="12"/>
      <c r="J286" s="12"/>
      <c r="K286" s="12"/>
      <c r="L286" s="12"/>
      <c r="M286" s="12"/>
      <c r="AV286">
        <v>285</v>
      </c>
      <c r="AW286" t="s">
        <v>154</v>
      </c>
      <c r="BM286">
        <v>285</v>
      </c>
      <c r="BN286" t="s">
        <v>348</v>
      </c>
      <c r="BO286" t="str">
        <f t="shared" si="100"/>
        <v>DANIEL jet</v>
      </c>
      <c r="BP286" t="b">
        <f t="shared" si="101"/>
        <v>1</v>
      </c>
    </row>
    <row r="287" spans="1:68">
      <c r="A287">
        <v>286</v>
      </c>
      <c r="E287">
        <f>COUNTIF($C$1:C287,C287)</f>
        <v>0</v>
      </c>
      <c r="F287" t="str">
        <f t="shared" si="99"/>
        <v>0</v>
      </c>
      <c r="G287">
        <f t="shared" si="96"/>
        <v>0</v>
      </c>
      <c r="H287">
        <f t="shared" si="97"/>
        <v>0</v>
      </c>
      <c r="I287"/>
      <c r="AV287">
        <v>286</v>
      </c>
      <c r="BM287">
        <v>286</v>
      </c>
      <c r="BO287">
        <f t="shared" si="100"/>
        <v>0</v>
      </c>
      <c r="BP287" t="b">
        <f t="shared" si="101"/>
        <v>1</v>
      </c>
    </row>
    <row r="288" spans="1:68">
      <c r="A288">
        <v>287</v>
      </c>
      <c r="B288" t="s">
        <v>192</v>
      </c>
      <c r="C288" s="1">
        <v>2038640330</v>
      </c>
      <c r="D288" t="s">
        <v>280</v>
      </c>
      <c r="E288">
        <f>COUNTIF($C$1:C288,C288)</f>
        <v>1</v>
      </c>
      <c r="F288" t="str">
        <f t="shared" si="99"/>
        <v>20386403301</v>
      </c>
      <c r="G288">
        <f t="shared" si="96"/>
        <v>0</v>
      </c>
      <c r="H288">
        <f t="shared" si="97"/>
        <v>0</v>
      </c>
      <c r="I288" s="12"/>
      <c r="J288" s="12"/>
      <c r="K288" s="12"/>
      <c r="L288" s="12"/>
      <c r="M288" s="12"/>
      <c r="AV288">
        <v>287</v>
      </c>
      <c r="AW288" t="s">
        <v>192</v>
      </c>
      <c r="BM288">
        <v>287</v>
      </c>
      <c r="BN288" t="s">
        <v>192</v>
      </c>
      <c r="BO288" t="str">
        <f t="shared" si="100"/>
        <v>C 2038640330</v>
      </c>
      <c r="BP288" t="b">
        <f t="shared" si="101"/>
        <v>1</v>
      </c>
    </row>
    <row r="289" spans="1:68">
      <c r="A289">
        <v>288</v>
      </c>
      <c r="E289">
        <f>COUNTIF($C$1:C289,C289)</f>
        <v>0</v>
      </c>
      <c r="F289" t="str">
        <f t="shared" si="99"/>
        <v>0</v>
      </c>
      <c r="G289">
        <f t="shared" si="96"/>
        <v>0</v>
      </c>
      <c r="H289">
        <f t="shared" si="97"/>
        <v>0</v>
      </c>
      <c r="I289"/>
      <c r="AV289">
        <v>288</v>
      </c>
      <c r="BM289">
        <v>288</v>
      </c>
      <c r="BO289">
        <f t="shared" si="100"/>
        <v>0</v>
      </c>
      <c r="BP289" t="b">
        <f t="shared" si="101"/>
        <v>1</v>
      </c>
    </row>
    <row r="290" spans="1:68">
      <c r="A290">
        <v>289</v>
      </c>
      <c r="E290">
        <f>COUNTIF($C$1:C290,C290)</f>
        <v>0</v>
      </c>
      <c r="F290" t="str">
        <f t="shared" si="99"/>
        <v>0</v>
      </c>
      <c r="G290">
        <f t="shared" si="96"/>
        <v>0</v>
      </c>
      <c r="H290">
        <f t="shared" si="97"/>
        <v>0</v>
      </c>
      <c r="I290"/>
      <c r="AV290">
        <v>289</v>
      </c>
      <c r="BM290">
        <v>289</v>
      </c>
      <c r="BO290">
        <f t="shared" si="100"/>
        <v>0</v>
      </c>
      <c r="BP290" t="b">
        <f t="shared" si="101"/>
        <v>1</v>
      </c>
    </row>
    <row r="291" spans="1:68">
      <c r="A291">
        <v>290</v>
      </c>
      <c r="E291">
        <f>COUNTIF($C$1:C291,C291)</f>
        <v>0</v>
      </c>
      <c r="F291" t="str">
        <f t="shared" si="99"/>
        <v>0</v>
      </c>
      <c r="G291">
        <f t="shared" si="96"/>
        <v>0</v>
      </c>
      <c r="H291">
        <f t="shared" si="97"/>
        <v>0</v>
      </c>
      <c r="I291"/>
      <c r="AV291">
        <v>290</v>
      </c>
      <c r="BM291">
        <v>290</v>
      </c>
      <c r="BO291">
        <f t="shared" si="100"/>
        <v>0</v>
      </c>
      <c r="BP291" t="b">
        <f t="shared" si="101"/>
        <v>1</v>
      </c>
    </row>
    <row r="292" spans="1:68">
      <c r="A292">
        <v>291</v>
      </c>
      <c r="E292">
        <f>COUNTIF($C$1:C292,C292)</f>
        <v>0</v>
      </c>
      <c r="F292" t="str">
        <f t="shared" si="99"/>
        <v>0</v>
      </c>
      <c r="G292">
        <f t="shared" si="96"/>
        <v>0</v>
      </c>
      <c r="H292">
        <f t="shared" si="97"/>
        <v>0</v>
      </c>
      <c r="I292"/>
      <c r="AV292">
        <v>291</v>
      </c>
      <c r="BM292">
        <v>291</v>
      </c>
      <c r="BO292">
        <f t="shared" si="100"/>
        <v>0</v>
      </c>
      <c r="BP292" t="b">
        <f t="shared" si="101"/>
        <v>1</v>
      </c>
    </row>
    <row r="293" spans="1:68">
      <c r="A293">
        <v>292</v>
      </c>
      <c r="E293">
        <f>COUNTIF($C$1:C293,C293)</f>
        <v>0</v>
      </c>
      <c r="F293" t="str">
        <f t="shared" si="99"/>
        <v>0</v>
      </c>
      <c r="G293">
        <f t="shared" si="96"/>
        <v>0</v>
      </c>
      <c r="H293">
        <f t="shared" si="97"/>
        <v>0</v>
      </c>
      <c r="I293"/>
      <c r="AV293">
        <v>292</v>
      </c>
      <c r="BM293">
        <v>292</v>
      </c>
      <c r="BO293">
        <f t="shared" si="100"/>
        <v>0</v>
      </c>
      <c r="BP293" t="b">
        <f t="shared" si="101"/>
        <v>1</v>
      </c>
    </row>
    <row r="294" spans="1:68">
      <c r="A294">
        <v>293</v>
      </c>
      <c r="B294" t="s">
        <v>379</v>
      </c>
      <c r="C294" s="1">
        <v>4752065818</v>
      </c>
      <c r="D294" t="s">
        <v>280</v>
      </c>
      <c r="E294">
        <f>COUNTIF($C$1:C294,C294)</f>
        <v>1</v>
      </c>
      <c r="F294" t="str">
        <f t="shared" si="99"/>
        <v>47520658181</v>
      </c>
      <c r="G294">
        <f t="shared" si="96"/>
        <v>0</v>
      </c>
      <c r="H294">
        <f t="shared" si="97"/>
        <v>1</v>
      </c>
      <c r="I294" s="12"/>
      <c r="J294" s="12"/>
      <c r="K294" s="12"/>
      <c r="L294" s="12"/>
      <c r="M294" s="12"/>
      <c r="AV294">
        <v>293</v>
      </c>
      <c r="AW294" t="s">
        <v>193</v>
      </c>
      <c r="BM294">
        <v>293</v>
      </c>
      <c r="BN294" t="s">
        <v>193</v>
      </c>
      <c r="BO294" t="str">
        <f t="shared" si="100"/>
        <v>Dudu cat (f)</v>
      </c>
      <c r="BP294" t="b">
        <f t="shared" si="101"/>
        <v>0</v>
      </c>
    </row>
    <row r="295" spans="1:68">
      <c r="A295">
        <v>294</v>
      </c>
      <c r="E295">
        <f>COUNTIF($C$1:C295,C295)</f>
        <v>0</v>
      </c>
      <c r="F295" t="str">
        <f t="shared" si="99"/>
        <v>0</v>
      </c>
      <c r="G295">
        <f t="shared" si="96"/>
        <v>0</v>
      </c>
      <c r="H295">
        <f t="shared" si="97"/>
        <v>0</v>
      </c>
      <c r="I295"/>
      <c r="AV295">
        <v>294</v>
      </c>
      <c r="BM295">
        <v>294</v>
      </c>
      <c r="BO295">
        <f t="shared" si="100"/>
        <v>0</v>
      </c>
      <c r="BP295" t="b">
        <f t="shared" si="101"/>
        <v>1</v>
      </c>
    </row>
    <row r="296" spans="1:68">
      <c r="A296">
        <v>295</v>
      </c>
      <c r="B296" t="s">
        <v>194</v>
      </c>
      <c r="C296" s="1">
        <v>9145624206</v>
      </c>
      <c r="D296" t="s">
        <v>291</v>
      </c>
      <c r="E296">
        <f>COUNTIF($C$1:C296,C296)</f>
        <v>1</v>
      </c>
      <c r="F296" t="str">
        <f t="shared" si="99"/>
        <v>91456242061</v>
      </c>
      <c r="G296">
        <f t="shared" ref="G296:G359" si="102">IF(IFERROR(FIND("pg",LOWER(B296)),0)=0,0,1)</f>
        <v>0</v>
      </c>
      <c r="H296">
        <f t="shared" ref="H296:H359" si="103">IF(IFERROR(FIND("(f)",LOWER(B296)),0)=0,0,1)</f>
        <v>0</v>
      </c>
      <c r="I296" s="12"/>
      <c r="J296" s="12"/>
      <c r="K296" s="12"/>
      <c r="L296" s="12"/>
      <c r="M296" s="12"/>
      <c r="AV296">
        <v>295</v>
      </c>
      <c r="AW296" t="s">
        <v>194</v>
      </c>
      <c r="BM296">
        <v>295</v>
      </c>
      <c r="BN296" t="s">
        <v>194</v>
      </c>
      <c r="BO296" t="str">
        <f t="shared" si="100"/>
        <v>CHICO</v>
      </c>
      <c r="BP296" t="b">
        <f t="shared" si="101"/>
        <v>1</v>
      </c>
    </row>
    <row r="297" spans="1:68">
      <c r="A297">
        <v>296</v>
      </c>
      <c r="B297" t="s">
        <v>195</v>
      </c>
      <c r="C297" s="1">
        <v>9145620301</v>
      </c>
      <c r="D297" t="s">
        <v>280</v>
      </c>
      <c r="E297">
        <f>COUNTIF($C$1:C297,C297)</f>
        <v>4</v>
      </c>
      <c r="F297" t="str">
        <f t="shared" si="99"/>
        <v>91456203014</v>
      </c>
      <c r="G297">
        <f t="shared" si="102"/>
        <v>0</v>
      </c>
      <c r="H297">
        <f t="shared" si="103"/>
        <v>0</v>
      </c>
      <c r="I297"/>
      <c r="AV297">
        <v>296</v>
      </c>
      <c r="AW297" t="s">
        <v>195</v>
      </c>
      <c r="BM297">
        <v>296</v>
      </c>
      <c r="BN297" t="s">
        <v>195</v>
      </c>
      <c r="BO297" t="str">
        <f t="shared" si="100"/>
        <v>JUNIOR GORDO</v>
      </c>
      <c r="BP297" t="b">
        <f t="shared" si="101"/>
        <v>1</v>
      </c>
    </row>
    <row r="298" spans="1:68">
      <c r="A298">
        <v>297</v>
      </c>
      <c r="B298" t="s">
        <v>124</v>
      </c>
      <c r="C298" s="1">
        <v>9144269391</v>
      </c>
      <c r="D298" t="s">
        <v>280</v>
      </c>
      <c r="E298">
        <f>COUNTIF($C$1:C298,C298)</f>
        <v>2</v>
      </c>
      <c r="F298" t="str">
        <f t="shared" si="99"/>
        <v>91442693912</v>
      </c>
      <c r="G298">
        <f t="shared" si="102"/>
        <v>0</v>
      </c>
      <c r="H298">
        <f t="shared" si="103"/>
        <v>0</v>
      </c>
      <c r="I298"/>
      <c r="AV298">
        <v>297</v>
      </c>
      <c r="AW298" t="s">
        <v>124</v>
      </c>
      <c r="BM298">
        <v>297</v>
      </c>
      <c r="BN298" t="s">
        <v>124</v>
      </c>
      <c r="BO298" t="str">
        <f t="shared" si="100"/>
        <v>Wellington Santana</v>
      </c>
      <c r="BP298" t="b">
        <f t="shared" si="101"/>
        <v>1</v>
      </c>
    </row>
    <row r="299" spans="1:68">
      <c r="A299">
        <v>298</v>
      </c>
      <c r="B299" t="s">
        <v>329</v>
      </c>
      <c r="C299" s="1">
        <v>9146095697</v>
      </c>
      <c r="D299" t="s">
        <v>280</v>
      </c>
      <c r="E299">
        <f>COUNTIF($C$1:C299,C299)</f>
        <v>4</v>
      </c>
      <c r="F299" t="str">
        <f t="shared" si="99"/>
        <v>91460956974</v>
      </c>
      <c r="G299">
        <f t="shared" si="102"/>
        <v>1</v>
      </c>
      <c r="H299">
        <f t="shared" si="103"/>
        <v>0</v>
      </c>
      <c r="I299"/>
      <c r="AV299">
        <v>298</v>
      </c>
      <c r="AW299" t="s">
        <v>196</v>
      </c>
      <c r="BM299">
        <v>298</v>
      </c>
      <c r="BN299" t="s">
        <v>196</v>
      </c>
      <c r="BO299" t="str">
        <f t="shared" si="100"/>
        <v>L&amp;M wood floor pg</v>
      </c>
      <c r="BP299" t="b">
        <v>1</v>
      </c>
    </row>
    <row r="300" spans="1:68">
      <c r="A300">
        <v>299</v>
      </c>
      <c r="B300" t="s">
        <v>197</v>
      </c>
      <c r="C300" s="1">
        <v>2035229488</v>
      </c>
      <c r="D300" t="s">
        <v>280</v>
      </c>
      <c r="E300">
        <f>COUNTIF($C$1:C300,C300)</f>
        <v>2</v>
      </c>
      <c r="F300" t="str">
        <f t="shared" si="99"/>
        <v>20352294882</v>
      </c>
      <c r="G300">
        <f t="shared" si="102"/>
        <v>0</v>
      </c>
      <c r="H300">
        <f t="shared" si="103"/>
        <v>0</v>
      </c>
      <c r="I300" s="12"/>
      <c r="J300" s="12"/>
      <c r="K300" s="12"/>
      <c r="L300" s="12"/>
      <c r="M300" s="12"/>
      <c r="AV300">
        <v>299</v>
      </c>
      <c r="AW300" t="s">
        <v>197</v>
      </c>
      <c r="BM300">
        <v>299</v>
      </c>
      <c r="BN300" t="s">
        <v>197</v>
      </c>
      <c r="BO300" t="str">
        <f t="shared" si="100"/>
        <v>DIEGO MECANICO</v>
      </c>
      <c r="BP300" t="b">
        <f t="shared" ref="BP300:BP309" si="104">BO300=BN300</f>
        <v>1</v>
      </c>
    </row>
    <row r="301" spans="1:68">
      <c r="A301">
        <v>300</v>
      </c>
      <c r="B301" t="s">
        <v>198</v>
      </c>
      <c r="C301" s="1">
        <v>9144735582</v>
      </c>
      <c r="D301" t="s">
        <v>280</v>
      </c>
      <c r="E301">
        <f>COUNTIF($C$1:C301,C301)</f>
        <v>1</v>
      </c>
      <c r="F301" t="str">
        <f t="shared" si="99"/>
        <v>91447355821</v>
      </c>
      <c r="G301">
        <f t="shared" si="102"/>
        <v>0</v>
      </c>
      <c r="H301">
        <f t="shared" si="103"/>
        <v>0</v>
      </c>
      <c r="I301" s="12"/>
      <c r="J301" s="12"/>
      <c r="K301" s="12"/>
      <c r="L301" s="12"/>
      <c r="M301" s="12"/>
      <c r="AV301">
        <v>300</v>
      </c>
      <c r="AW301" t="s">
        <v>198</v>
      </c>
      <c r="BM301">
        <v>300</v>
      </c>
      <c r="BN301" t="s">
        <v>198</v>
      </c>
      <c r="BO301" t="str">
        <f t="shared" si="100"/>
        <v>Bico</v>
      </c>
      <c r="BP301" t="b">
        <f t="shared" si="104"/>
        <v>1</v>
      </c>
    </row>
    <row r="302" spans="1:68">
      <c r="A302">
        <v>301</v>
      </c>
      <c r="E302">
        <f>COUNTIF($C$1:C302,C302)</f>
        <v>0</v>
      </c>
      <c r="F302" t="str">
        <f t="shared" si="99"/>
        <v>0</v>
      </c>
      <c r="G302">
        <f t="shared" si="102"/>
        <v>0</v>
      </c>
      <c r="H302">
        <f t="shared" si="103"/>
        <v>0</v>
      </c>
      <c r="I302"/>
      <c r="AV302">
        <v>301</v>
      </c>
      <c r="BM302">
        <v>301</v>
      </c>
      <c r="BO302">
        <f t="shared" si="100"/>
        <v>0</v>
      </c>
      <c r="BP302" t="b">
        <f t="shared" si="104"/>
        <v>1</v>
      </c>
    </row>
    <row r="303" spans="1:68">
      <c r="A303">
        <v>302</v>
      </c>
      <c r="E303">
        <f>COUNTIF($C$1:C303,C303)</f>
        <v>0</v>
      </c>
      <c r="F303" t="str">
        <f t="shared" si="99"/>
        <v>0</v>
      </c>
      <c r="G303">
        <f t="shared" si="102"/>
        <v>0</v>
      </c>
      <c r="H303">
        <f t="shared" si="103"/>
        <v>0</v>
      </c>
      <c r="I303"/>
      <c r="AV303">
        <v>302</v>
      </c>
      <c r="BM303">
        <v>302</v>
      </c>
      <c r="BO303">
        <f t="shared" si="100"/>
        <v>0</v>
      </c>
      <c r="BP303" t="b">
        <f t="shared" si="104"/>
        <v>1</v>
      </c>
    </row>
    <row r="304" spans="1:68">
      <c r="A304">
        <v>303</v>
      </c>
      <c r="B304" t="s">
        <v>199</v>
      </c>
      <c r="D304" t="s">
        <v>281</v>
      </c>
      <c r="E304">
        <f>COUNTIF($C$1:C304,C304)</f>
        <v>0</v>
      </c>
      <c r="F304" t="str">
        <f t="shared" si="99"/>
        <v>0</v>
      </c>
      <c r="G304">
        <f t="shared" si="102"/>
        <v>0</v>
      </c>
      <c r="H304">
        <f t="shared" si="103"/>
        <v>0</v>
      </c>
      <c r="I304"/>
      <c r="AV304">
        <v>303</v>
      </c>
      <c r="AW304" t="s">
        <v>199</v>
      </c>
      <c r="BM304">
        <v>303</v>
      </c>
      <c r="BN304" t="s">
        <v>199</v>
      </c>
      <c r="BO304" t="str">
        <f t="shared" si="100"/>
        <v>JULIO</v>
      </c>
      <c r="BP304" t="b">
        <f t="shared" si="104"/>
        <v>1</v>
      </c>
    </row>
    <row r="305" spans="1:68">
      <c r="A305">
        <v>304</v>
      </c>
      <c r="B305" t="s">
        <v>200</v>
      </c>
      <c r="C305" s="1">
        <v>2039123543</v>
      </c>
      <c r="D305" t="s">
        <v>280</v>
      </c>
      <c r="E305">
        <f>COUNTIF($C$1:C305,C305)</f>
        <v>2</v>
      </c>
      <c r="F305" t="str">
        <f t="shared" si="99"/>
        <v>20391235432</v>
      </c>
      <c r="G305">
        <f t="shared" si="102"/>
        <v>0</v>
      </c>
      <c r="H305">
        <f t="shared" si="103"/>
        <v>0</v>
      </c>
      <c r="I305"/>
      <c r="AV305">
        <v>304</v>
      </c>
      <c r="AW305" t="s">
        <v>200</v>
      </c>
      <c r="BM305">
        <v>304</v>
      </c>
      <c r="BN305" t="s">
        <v>200</v>
      </c>
      <c r="BO305" t="str">
        <f t="shared" si="100"/>
        <v>Mário Paiva</v>
      </c>
      <c r="BP305" t="b">
        <f t="shared" si="104"/>
        <v>1</v>
      </c>
    </row>
    <row r="306" spans="1:68">
      <c r="A306">
        <v>305</v>
      </c>
      <c r="E306">
        <f>COUNTIF($C$1:C306,C306)</f>
        <v>0</v>
      </c>
      <c r="F306" t="str">
        <f t="shared" si="99"/>
        <v>0</v>
      </c>
      <c r="G306">
        <f t="shared" si="102"/>
        <v>0</v>
      </c>
      <c r="H306">
        <f t="shared" si="103"/>
        <v>0</v>
      </c>
      <c r="I306"/>
      <c r="AV306">
        <v>305</v>
      </c>
      <c r="BM306">
        <v>305</v>
      </c>
      <c r="BO306">
        <f t="shared" si="100"/>
        <v>0</v>
      </c>
      <c r="BP306" t="b">
        <f t="shared" si="104"/>
        <v>1</v>
      </c>
    </row>
    <row r="307" spans="1:68">
      <c r="A307">
        <v>306</v>
      </c>
      <c r="E307">
        <f>COUNTIF($C$1:C307,C307)</f>
        <v>0</v>
      </c>
      <c r="F307" t="str">
        <f t="shared" si="99"/>
        <v>0</v>
      </c>
      <c r="G307">
        <f t="shared" si="102"/>
        <v>0</v>
      </c>
      <c r="H307">
        <f t="shared" si="103"/>
        <v>0</v>
      </c>
      <c r="I307"/>
      <c r="AV307">
        <v>306</v>
      </c>
      <c r="BM307">
        <v>306</v>
      </c>
      <c r="BO307">
        <f t="shared" si="100"/>
        <v>0</v>
      </c>
      <c r="BP307" t="b">
        <f t="shared" si="104"/>
        <v>1</v>
      </c>
    </row>
    <row r="308" spans="1:68">
      <c r="A308">
        <v>307</v>
      </c>
      <c r="B308" t="s">
        <v>156</v>
      </c>
      <c r="C308" s="1">
        <v>9142270568</v>
      </c>
      <c r="D308" t="s">
        <v>280</v>
      </c>
      <c r="E308">
        <f>COUNTIF($C$1:C308,C308)</f>
        <v>4</v>
      </c>
      <c r="F308" t="str">
        <f t="shared" si="99"/>
        <v>91422705684</v>
      </c>
      <c r="G308">
        <f t="shared" si="102"/>
        <v>0</v>
      </c>
      <c r="H308">
        <f t="shared" si="103"/>
        <v>0</v>
      </c>
      <c r="I308" s="12"/>
      <c r="J308" s="12"/>
      <c r="K308" s="12"/>
      <c r="L308" s="12"/>
      <c r="M308" s="12"/>
      <c r="AV308">
        <v>307</v>
      </c>
      <c r="AW308" t="s">
        <v>156</v>
      </c>
      <c r="BM308">
        <v>307</v>
      </c>
      <c r="BN308" t="s">
        <v>156</v>
      </c>
      <c r="BO308" t="str">
        <f t="shared" si="100"/>
        <v>DANILEX</v>
      </c>
      <c r="BP308" t="b">
        <f t="shared" si="104"/>
        <v>1</v>
      </c>
    </row>
    <row r="309" spans="1:68">
      <c r="A309">
        <v>308</v>
      </c>
      <c r="E309">
        <f>COUNTIF($C$1:C309,C309)</f>
        <v>0</v>
      </c>
      <c r="F309" t="str">
        <f t="shared" si="99"/>
        <v>0</v>
      </c>
      <c r="G309">
        <f t="shared" si="102"/>
        <v>0</v>
      </c>
      <c r="H309">
        <f t="shared" si="103"/>
        <v>0</v>
      </c>
      <c r="I309"/>
      <c r="AV309">
        <v>308</v>
      </c>
      <c r="BM309">
        <v>308</v>
      </c>
      <c r="BO309">
        <f t="shared" si="100"/>
        <v>0</v>
      </c>
      <c r="BP309" t="b">
        <f t="shared" si="104"/>
        <v>1</v>
      </c>
    </row>
    <row r="310" spans="1:68">
      <c r="A310">
        <v>309</v>
      </c>
      <c r="B310" t="s">
        <v>335</v>
      </c>
      <c r="C310" s="1">
        <v>8455279933</v>
      </c>
      <c r="D310" t="s">
        <v>280</v>
      </c>
      <c r="E310">
        <f>COUNTIF($C$1:C310,C310)</f>
        <v>4</v>
      </c>
      <c r="F310" t="str">
        <f t="shared" si="99"/>
        <v>84552799334</v>
      </c>
      <c r="G310">
        <f t="shared" si="102"/>
        <v>1</v>
      </c>
      <c r="H310">
        <f t="shared" si="103"/>
        <v>0</v>
      </c>
      <c r="I310"/>
      <c r="AV310">
        <v>309</v>
      </c>
      <c r="AW310" t="s">
        <v>201</v>
      </c>
      <c r="BM310">
        <v>309</v>
      </c>
      <c r="BN310" t="s">
        <v>201</v>
      </c>
      <c r="BO310" t="str">
        <f t="shared" si="100"/>
        <v>Marília/ Fábio pg</v>
      </c>
      <c r="BP310" t="b">
        <v>1</v>
      </c>
    </row>
    <row r="311" spans="1:68">
      <c r="A311">
        <v>310</v>
      </c>
      <c r="E311">
        <f>COUNTIF($C$1:C311,C311)</f>
        <v>0</v>
      </c>
      <c r="F311" t="str">
        <f t="shared" si="99"/>
        <v>0</v>
      </c>
      <c r="G311">
        <f t="shared" si="102"/>
        <v>0</v>
      </c>
      <c r="H311">
        <f t="shared" si="103"/>
        <v>0</v>
      </c>
      <c r="I311"/>
      <c r="AV311">
        <v>310</v>
      </c>
      <c r="BM311">
        <v>310</v>
      </c>
      <c r="BO311">
        <f t="shared" si="100"/>
        <v>0</v>
      </c>
      <c r="BP311" t="b">
        <f t="shared" ref="BP311:BP332" si="105">BO311=BN311</f>
        <v>1</v>
      </c>
    </row>
    <row r="312" spans="1:68">
      <c r="A312">
        <v>311</v>
      </c>
      <c r="B312" t="s">
        <v>202</v>
      </c>
      <c r="C312" s="1">
        <v>2037264666</v>
      </c>
      <c r="D312" t="s">
        <v>280</v>
      </c>
      <c r="E312">
        <f>COUNTIF($C$1:C312,C312)</f>
        <v>1</v>
      </c>
      <c r="F312" t="str">
        <f t="shared" si="99"/>
        <v>20372646661</v>
      </c>
      <c r="G312">
        <f t="shared" si="102"/>
        <v>0</v>
      </c>
      <c r="H312">
        <f t="shared" si="103"/>
        <v>0</v>
      </c>
      <c r="I312" s="12"/>
      <c r="J312" s="12"/>
      <c r="K312" s="12"/>
      <c r="L312" s="12"/>
      <c r="M312" s="12"/>
      <c r="AV312">
        <v>311</v>
      </c>
      <c r="AW312" t="s">
        <v>202</v>
      </c>
      <c r="BM312">
        <v>311</v>
      </c>
      <c r="BN312" t="s">
        <v>202</v>
      </c>
      <c r="BO312" t="str">
        <f t="shared" si="100"/>
        <v>Glauber</v>
      </c>
      <c r="BP312" t="b">
        <f t="shared" si="105"/>
        <v>1</v>
      </c>
    </row>
    <row r="313" spans="1:68">
      <c r="A313">
        <v>312</v>
      </c>
      <c r="E313">
        <f>COUNTIF($C$1:C313,C313)</f>
        <v>0</v>
      </c>
      <c r="F313" t="str">
        <f t="shared" si="99"/>
        <v>0</v>
      </c>
      <c r="G313">
        <f t="shared" si="102"/>
        <v>0</v>
      </c>
      <c r="H313">
        <f t="shared" si="103"/>
        <v>0</v>
      </c>
      <c r="I313"/>
      <c r="AV313">
        <v>312</v>
      </c>
      <c r="BM313">
        <v>312</v>
      </c>
      <c r="BO313">
        <f t="shared" si="100"/>
        <v>0</v>
      </c>
      <c r="BP313" t="b">
        <f t="shared" si="105"/>
        <v>1</v>
      </c>
    </row>
    <row r="314" spans="1:68">
      <c r="A314">
        <v>313</v>
      </c>
      <c r="B314" t="s">
        <v>355</v>
      </c>
      <c r="C314" s="1">
        <v>9144175819</v>
      </c>
      <c r="D314" t="s">
        <v>280</v>
      </c>
      <c r="E314">
        <f>COUNTIF($C$1:C314,C314)</f>
        <v>2</v>
      </c>
      <c r="F314" t="str">
        <f t="shared" si="99"/>
        <v>91441758192</v>
      </c>
      <c r="G314">
        <f t="shared" si="102"/>
        <v>1</v>
      </c>
      <c r="H314">
        <f t="shared" si="103"/>
        <v>0</v>
      </c>
      <c r="I314" s="12"/>
      <c r="J314" s="12"/>
      <c r="K314" s="12"/>
      <c r="L314" s="12"/>
      <c r="M314" s="12"/>
      <c r="AV314">
        <v>313</v>
      </c>
      <c r="AW314" t="s">
        <v>203</v>
      </c>
      <c r="BM314">
        <v>313</v>
      </c>
      <c r="BN314" t="s">
        <v>203</v>
      </c>
      <c r="BO314" t="str">
        <f t="shared" si="100"/>
        <v>ANDERSON POLICARPO pg</v>
      </c>
      <c r="BP314" t="b">
        <f t="shared" si="105"/>
        <v>0</v>
      </c>
    </row>
    <row r="315" spans="1:68">
      <c r="A315">
        <v>314</v>
      </c>
      <c r="E315">
        <f>COUNTIF($C$1:C315,C315)</f>
        <v>0</v>
      </c>
      <c r="F315" t="str">
        <f t="shared" si="99"/>
        <v>0</v>
      </c>
      <c r="G315">
        <f t="shared" si="102"/>
        <v>0</v>
      </c>
      <c r="H315">
        <f t="shared" si="103"/>
        <v>0</v>
      </c>
      <c r="I315"/>
      <c r="AV315">
        <v>314</v>
      </c>
      <c r="BM315">
        <v>314</v>
      </c>
      <c r="BO315">
        <f t="shared" si="100"/>
        <v>0</v>
      </c>
      <c r="BP315" t="b">
        <f t="shared" si="105"/>
        <v>1</v>
      </c>
    </row>
    <row r="316" spans="1:68">
      <c r="A316">
        <v>315</v>
      </c>
      <c r="E316">
        <f>COUNTIF($C$1:C316,C316)</f>
        <v>0</v>
      </c>
      <c r="F316" t="str">
        <f t="shared" si="99"/>
        <v>0</v>
      </c>
      <c r="G316">
        <f t="shared" si="102"/>
        <v>0</v>
      </c>
      <c r="H316">
        <f t="shared" si="103"/>
        <v>0</v>
      </c>
      <c r="I316"/>
      <c r="AV316">
        <v>315</v>
      </c>
      <c r="BM316">
        <v>315</v>
      </c>
      <c r="BO316">
        <f t="shared" si="100"/>
        <v>0</v>
      </c>
      <c r="BP316" t="b">
        <f t="shared" si="105"/>
        <v>1</v>
      </c>
    </row>
    <row r="317" spans="1:68">
      <c r="A317">
        <v>316</v>
      </c>
      <c r="B317" t="s">
        <v>204</v>
      </c>
      <c r="C317" s="1">
        <v>2035221446</v>
      </c>
      <c r="D317" t="s">
        <v>280</v>
      </c>
      <c r="E317">
        <f>COUNTIF($C$1:C317,C317)</f>
        <v>1</v>
      </c>
      <c r="F317" t="str">
        <f t="shared" si="99"/>
        <v>20352214461</v>
      </c>
      <c r="G317">
        <f t="shared" si="102"/>
        <v>0</v>
      </c>
      <c r="H317">
        <f t="shared" si="103"/>
        <v>0</v>
      </c>
      <c r="I317"/>
      <c r="AV317">
        <v>316</v>
      </c>
      <c r="AW317" t="s">
        <v>204</v>
      </c>
      <c r="BM317">
        <v>316</v>
      </c>
      <c r="BN317" t="s">
        <v>204</v>
      </c>
      <c r="BO317" t="str">
        <f t="shared" si="100"/>
        <v>NATALIA PIVA</v>
      </c>
      <c r="BP317" t="b">
        <f t="shared" si="105"/>
        <v>1</v>
      </c>
    </row>
    <row r="318" spans="1:68">
      <c r="A318">
        <v>317</v>
      </c>
      <c r="B318" t="s">
        <v>205</v>
      </c>
      <c r="C318" s="1">
        <v>9145653559</v>
      </c>
      <c r="D318" t="s">
        <v>280</v>
      </c>
      <c r="E318">
        <f>COUNTIF($C$1:C318,C318)</f>
        <v>1</v>
      </c>
      <c r="F318" t="str">
        <f t="shared" si="99"/>
        <v>91456535591</v>
      </c>
      <c r="G318">
        <f t="shared" si="102"/>
        <v>0</v>
      </c>
      <c r="H318">
        <f t="shared" si="103"/>
        <v>0</v>
      </c>
      <c r="I318"/>
      <c r="AV318">
        <v>317</v>
      </c>
      <c r="AW318" t="s">
        <v>205</v>
      </c>
      <c r="BM318">
        <v>317</v>
      </c>
      <c r="BN318" t="s">
        <v>205</v>
      </c>
      <c r="BO318" t="str">
        <f t="shared" si="100"/>
        <v>ROVILSON</v>
      </c>
      <c r="BP318" t="b">
        <f t="shared" si="105"/>
        <v>1</v>
      </c>
    </row>
    <row r="319" spans="1:68">
      <c r="A319">
        <v>318</v>
      </c>
      <c r="B319" t="s">
        <v>206</v>
      </c>
      <c r="C319" s="1">
        <v>2038209096</v>
      </c>
      <c r="D319" t="s">
        <v>290</v>
      </c>
      <c r="E319">
        <f>COUNTIF($C$1:C319,C319)</f>
        <v>3</v>
      </c>
      <c r="F319" t="str">
        <f t="shared" si="99"/>
        <v>20382090963</v>
      </c>
      <c r="G319">
        <f t="shared" si="102"/>
        <v>0</v>
      </c>
      <c r="H319">
        <f t="shared" si="103"/>
        <v>0</v>
      </c>
      <c r="I319"/>
      <c r="AV319">
        <v>318</v>
      </c>
      <c r="AW319" t="s">
        <v>206</v>
      </c>
      <c r="BM319">
        <v>318</v>
      </c>
      <c r="BN319" t="s">
        <v>206</v>
      </c>
      <c r="BO319" t="str">
        <f t="shared" si="100"/>
        <v>KEVIN CUMPA</v>
      </c>
      <c r="BP319" t="b">
        <f t="shared" si="105"/>
        <v>1</v>
      </c>
    </row>
    <row r="320" spans="1:68">
      <c r="A320">
        <v>319</v>
      </c>
      <c r="E320">
        <f>COUNTIF($C$1:C320,C320)</f>
        <v>0</v>
      </c>
      <c r="F320" t="str">
        <f t="shared" si="99"/>
        <v>0</v>
      </c>
      <c r="G320">
        <f t="shared" si="102"/>
        <v>0</v>
      </c>
      <c r="H320">
        <f t="shared" si="103"/>
        <v>0</v>
      </c>
      <c r="I320"/>
      <c r="AV320">
        <v>319</v>
      </c>
      <c r="BM320">
        <v>319</v>
      </c>
      <c r="BO320">
        <f t="shared" si="100"/>
        <v>0</v>
      </c>
      <c r="BP320" t="b">
        <f t="shared" si="105"/>
        <v>1</v>
      </c>
    </row>
    <row r="321" spans="1:68">
      <c r="A321">
        <v>320</v>
      </c>
      <c r="E321">
        <f>COUNTIF($C$1:C321,C321)</f>
        <v>0</v>
      </c>
      <c r="F321" t="str">
        <f t="shared" si="99"/>
        <v>0</v>
      </c>
      <c r="G321">
        <f t="shared" si="102"/>
        <v>0</v>
      </c>
      <c r="H321">
        <f t="shared" si="103"/>
        <v>0</v>
      </c>
      <c r="I321"/>
      <c r="AV321">
        <v>320</v>
      </c>
      <c r="BM321">
        <v>320</v>
      </c>
      <c r="BO321">
        <f t="shared" si="100"/>
        <v>0</v>
      </c>
      <c r="BP321" t="b">
        <f t="shared" si="105"/>
        <v>1</v>
      </c>
    </row>
    <row r="322" spans="1:68">
      <c r="A322">
        <v>321</v>
      </c>
      <c r="E322">
        <f>COUNTIF($C$1:C322,C322)</f>
        <v>0</v>
      </c>
      <c r="F322" t="str">
        <f t="shared" ref="F322:F385" si="106">C322&amp;E322</f>
        <v>0</v>
      </c>
      <c r="G322">
        <f t="shared" si="102"/>
        <v>0</v>
      </c>
      <c r="H322">
        <f t="shared" si="103"/>
        <v>0</v>
      </c>
      <c r="I322"/>
      <c r="AV322">
        <v>321</v>
      </c>
      <c r="AW322" t="s">
        <v>207</v>
      </c>
      <c r="BM322">
        <v>321</v>
      </c>
      <c r="BO322">
        <f t="shared" ref="BO322:BO385" si="107">VLOOKUP(BM322,A:B,2,0)</f>
        <v>0</v>
      </c>
      <c r="BP322" t="b">
        <f t="shared" si="105"/>
        <v>1</v>
      </c>
    </row>
    <row r="323" spans="1:68">
      <c r="A323">
        <v>322</v>
      </c>
      <c r="E323">
        <f>COUNTIF($C$1:C323,C323)</f>
        <v>0</v>
      </c>
      <c r="F323" t="str">
        <f t="shared" si="106"/>
        <v>0</v>
      </c>
      <c r="G323">
        <f t="shared" si="102"/>
        <v>0</v>
      </c>
      <c r="H323">
        <f t="shared" si="103"/>
        <v>0</v>
      </c>
      <c r="I323"/>
      <c r="AV323">
        <v>322</v>
      </c>
      <c r="BM323">
        <v>322</v>
      </c>
      <c r="BO323">
        <f t="shared" si="107"/>
        <v>0</v>
      </c>
      <c r="BP323" t="b">
        <f t="shared" si="105"/>
        <v>1</v>
      </c>
    </row>
    <row r="324" spans="1:68">
      <c r="A324">
        <v>323</v>
      </c>
      <c r="B324" t="s">
        <v>78</v>
      </c>
      <c r="C324" s="1">
        <v>9143918505</v>
      </c>
      <c r="D324" t="s">
        <v>280</v>
      </c>
      <c r="E324">
        <f>COUNTIF($C$1:C324,C324)</f>
        <v>3</v>
      </c>
      <c r="F324" t="str">
        <f t="shared" si="106"/>
        <v>91439185053</v>
      </c>
      <c r="G324">
        <f t="shared" si="102"/>
        <v>0</v>
      </c>
      <c r="H324">
        <f t="shared" si="103"/>
        <v>0</v>
      </c>
      <c r="I324" s="12"/>
      <c r="J324" s="12"/>
      <c r="K324" s="12"/>
      <c r="L324" s="12"/>
      <c r="M324" s="12"/>
      <c r="AV324">
        <v>323</v>
      </c>
      <c r="AW324" t="s">
        <v>78</v>
      </c>
      <c r="BM324">
        <v>323</v>
      </c>
      <c r="BN324" t="s">
        <v>78</v>
      </c>
      <c r="BO324" t="str">
        <f t="shared" si="107"/>
        <v>ADRIANO</v>
      </c>
      <c r="BP324" t="b">
        <f t="shared" si="105"/>
        <v>1</v>
      </c>
    </row>
    <row r="325" spans="1:68">
      <c r="A325">
        <v>324</v>
      </c>
      <c r="E325">
        <f>COUNTIF($C$1:C325,C325)</f>
        <v>0</v>
      </c>
      <c r="F325" t="str">
        <f t="shared" si="106"/>
        <v>0</v>
      </c>
      <c r="G325">
        <f t="shared" si="102"/>
        <v>0</v>
      </c>
      <c r="H325">
        <f t="shared" si="103"/>
        <v>0</v>
      </c>
      <c r="I325"/>
      <c r="AV325">
        <v>324</v>
      </c>
      <c r="BM325">
        <v>324</v>
      </c>
      <c r="BO325">
        <f t="shared" si="107"/>
        <v>0</v>
      </c>
      <c r="BP325" t="b">
        <f t="shared" si="105"/>
        <v>1</v>
      </c>
    </row>
    <row r="326" spans="1:68">
      <c r="A326">
        <v>325</v>
      </c>
      <c r="B326" t="s">
        <v>208</v>
      </c>
      <c r="D326" t="s">
        <v>281</v>
      </c>
      <c r="E326">
        <f>COUNTIF($C$1:C326,C326)</f>
        <v>0</v>
      </c>
      <c r="F326" t="str">
        <f t="shared" si="106"/>
        <v>0</v>
      </c>
      <c r="G326">
        <f t="shared" si="102"/>
        <v>0</v>
      </c>
      <c r="H326">
        <f t="shared" si="103"/>
        <v>0</v>
      </c>
      <c r="I326" s="12"/>
      <c r="J326" s="12"/>
      <c r="K326" s="12"/>
      <c r="L326" s="12"/>
      <c r="M326" s="12"/>
      <c r="AV326">
        <v>325</v>
      </c>
      <c r="AW326" t="s">
        <v>208</v>
      </c>
      <c r="BM326">
        <v>325</v>
      </c>
      <c r="BN326" t="s">
        <v>208</v>
      </c>
      <c r="BO326" t="str">
        <f t="shared" si="107"/>
        <v>Édilson Santos</v>
      </c>
      <c r="BP326" t="b">
        <f t="shared" si="105"/>
        <v>1</v>
      </c>
    </row>
    <row r="327" spans="1:68">
      <c r="A327">
        <v>326</v>
      </c>
      <c r="E327">
        <f>COUNTIF($C$1:C327,C327)</f>
        <v>0</v>
      </c>
      <c r="F327" t="str">
        <f t="shared" si="106"/>
        <v>0</v>
      </c>
      <c r="G327">
        <f t="shared" si="102"/>
        <v>0</v>
      </c>
      <c r="H327">
        <f t="shared" si="103"/>
        <v>0</v>
      </c>
      <c r="I327"/>
      <c r="AV327">
        <v>326</v>
      </c>
      <c r="BM327">
        <v>326</v>
      </c>
      <c r="BO327">
        <f t="shared" si="107"/>
        <v>0</v>
      </c>
      <c r="BP327" t="b">
        <f t="shared" si="105"/>
        <v>1</v>
      </c>
    </row>
    <row r="328" spans="1:68">
      <c r="A328">
        <v>327</v>
      </c>
      <c r="B328" t="s">
        <v>209</v>
      </c>
      <c r="C328" s="1">
        <v>5042666286</v>
      </c>
      <c r="D328" t="s">
        <v>280</v>
      </c>
      <c r="E328">
        <f>COUNTIF($C$1:C328,C328)</f>
        <v>1</v>
      </c>
      <c r="F328" t="str">
        <f t="shared" si="106"/>
        <v>50426662861</v>
      </c>
      <c r="G328">
        <f t="shared" si="102"/>
        <v>0</v>
      </c>
      <c r="H328">
        <f t="shared" si="103"/>
        <v>0</v>
      </c>
      <c r="I328"/>
      <c r="AV328">
        <v>327</v>
      </c>
      <c r="AW328" t="s">
        <v>209</v>
      </c>
      <c r="BM328">
        <v>327</v>
      </c>
      <c r="BN328" t="s">
        <v>209</v>
      </c>
      <c r="BO328" t="str">
        <f t="shared" si="107"/>
        <v>TATI CUMPA</v>
      </c>
      <c r="BP328" t="b">
        <f t="shared" si="105"/>
        <v>1</v>
      </c>
    </row>
    <row r="329" spans="1:68">
      <c r="A329">
        <v>328</v>
      </c>
      <c r="B329" t="s">
        <v>381</v>
      </c>
      <c r="C329" s="1">
        <v>9148799779</v>
      </c>
      <c r="D329" t="s">
        <v>280</v>
      </c>
      <c r="E329">
        <f>COUNTIF($C$1:C329,C329)</f>
        <v>1</v>
      </c>
      <c r="F329" t="str">
        <f t="shared" si="106"/>
        <v>91487997791</v>
      </c>
      <c r="G329">
        <f t="shared" si="102"/>
        <v>0</v>
      </c>
      <c r="H329">
        <f t="shared" si="103"/>
        <v>1</v>
      </c>
      <c r="I329"/>
      <c r="AV329">
        <v>328</v>
      </c>
      <c r="AW329" t="s">
        <v>210</v>
      </c>
      <c r="BM329">
        <v>328</v>
      </c>
      <c r="BN329" t="s">
        <v>210</v>
      </c>
      <c r="BO329" t="str">
        <f t="shared" si="107"/>
        <v>João / filho (f)</v>
      </c>
      <c r="BP329" t="b">
        <f t="shared" si="105"/>
        <v>0</v>
      </c>
    </row>
    <row r="330" spans="1:68">
      <c r="A330">
        <v>329</v>
      </c>
      <c r="B330" t="s">
        <v>211</v>
      </c>
      <c r="C330" s="1">
        <v>9143190338</v>
      </c>
      <c r="D330" t="s">
        <v>280</v>
      </c>
      <c r="E330">
        <f>COUNTIF($C$1:C330,C330)</f>
        <v>2</v>
      </c>
      <c r="F330" t="str">
        <f t="shared" si="106"/>
        <v>91431903382</v>
      </c>
      <c r="G330">
        <f t="shared" si="102"/>
        <v>0</v>
      </c>
      <c r="H330">
        <f t="shared" si="103"/>
        <v>0</v>
      </c>
      <c r="I330"/>
      <c r="AV330">
        <v>329</v>
      </c>
      <c r="AW330" t="s">
        <v>211</v>
      </c>
      <c r="BM330">
        <v>329</v>
      </c>
      <c r="BN330" t="s">
        <v>211</v>
      </c>
      <c r="BO330" t="str">
        <f t="shared" si="107"/>
        <v>Thiago / Jon</v>
      </c>
      <c r="BP330" t="b">
        <f t="shared" si="105"/>
        <v>1</v>
      </c>
    </row>
    <row r="331" spans="1:68">
      <c r="A331">
        <v>330</v>
      </c>
      <c r="B331" t="s">
        <v>212</v>
      </c>
      <c r="C331" s="1">
        <v>2035456583</v>
      </c>
      <c r="D331" t="s">
        <v>280</v>
      </c>
      <c r="E331">
        <f>COUNTIF($C$1:C331,C331)</f>
        <v>1</v>
      </c>
      <c r="F331" t="str">
        <f t="shared" si="106"/>
        <v>20354565831</v>
      </c>
      <c r="G331">
        <f t="shared" si="102"/>
        <v>1</v>
      </c>
      <c r="H331">
        <f t="shared" si="103"/>
        <v>0</v>
      </c>
      <c r="I331"/>
      <c r="AV331">
        <v>330</v>
      </c>
      <c r="AW331" t="s">
        <v>212</v>
      </c>
      <c r="BM331">
        <v>330</v>
      </c>
      <c r="BN331" t="s">
        <v>212</v>
      </c>
      <c r="BO331" t="str">
        <f t="shared" si="107"/>
        <v>Junior /Rodrigao pg</v>
      </c>
      <c r="BP331" t="b">
        <f t="shared" si="105"/>
        <v>1</v>
      </c>
    </row>
    <row r="332" spans="1:68">
      <c r="A332">
        <v>331</v>
      </c>
      <c r="E332">
        <f>COUNTIF($C$1:C332,C332)</f>
        <v>0</v>
      </c>
      <c r="F332" t="str">
        <f t="shared" si="106"/>
        <v>0</v>
      </c>
      <c r="G332">
        <f t="shared" si="102"/>
        <v>0</v>
      </c>
      <c r="H332">
        <f t="shared" si="103"/>
        <v>0</v>
      </c>
      <c r="I332"/>
      <c r="AV332">
        <v>331</v>
      </c>
      <c r="BM332">
        <v>331</v>
      </c>
      <c r="BO332">
        <f t="shared" si="107"/>
        <v>0</v>
      </c>
      <c r="BP332" t="b">
        <f t="shared" si="105"/>
        <v>1</v>
      </c>
    </row>
    <row r="333" spans="1:68">
      <c r="A333">
        <v>332</v>
      </c>
      <c r="B333" t="s">
        <v>336</v>
      </c>
      <c r="C333" s="1">
        <v>2039812008</v>
      </c>
      <c r="D333" t="s">
        <v>280</v>
      </c>
      <c r="E333">
        <f>COUNTIF($C$1:C333,C333)</f>
        <v>1</v>
      </c>
      <c r="F333" t="str">
        <f t="shared" si="106"/>
        <v>20398120081</v>
      </c>
      <c r="G333">
        <f t="shared" si="102"/>
        <v>1</v>
      </c>
      <c r="H333">
        <f t="shared" si="103"/>
        <v>0</v>
      </c>
      <c r="I333" s="12"/>
      <c r="J333" s="12"/>
      <c r="K333" s="12"/>
      <c r="L333" s="12"/>
      <c r="M333" s="12"/>
      <c r="AV333">
        <v>332</v>
      </c>
      <c r="AW333" t="s">
        <v>213</v>
      </c>
      <c r="BM333">
        <v>332</v>
      </c>
      <c r="BN333" t="s">
        <v>213</v>
      </c>
      <c r="BO333" t="str">
        <f t="shared" si="107"/>
        <v>Ataide Junior pg</v>
      </c>
      <c r="BP333" t="b">
        <v>1</v>
      </c>
    </row>
    <row r="334" spans="1:68">
      <c r="A334">
        <v>333</v>
      </c>
      <c r="B334" t="s">
        <v>350</v>
      </c>
      <c r="C334" s="1">
        <v>2035450805</v>
      </c>
      <c r="D334" t="s">
        <v>280</v>
      </c>
      <c r="E334">
        <f>COUNTIF($C$1:C334,C334)</f>
        <v>1</v>
      </c>
      <c r="F334" t="str">
        <f t="shared" si="106"/>
        <v>20354508051</v>
      </c>
      <c r="G334">
        <f t="shared" si="102"/>
        <v>1</v>
      </c>
      <c r="H334">
        <f t="shared" si="103"/>
        <v>0</v>
      </c>
      <c r="I334" s="12"/>
      <c r="J334" s="12"/>
      <c r="K334" s="12"/>
      <c r="L334" s="12"/>
      <c r="M334" s="12"/>
      <c r="AV334">
        <v>333</v>
      </c>
      <c r="AW334" t="s">
        <v>214</v>
      </c>
      <c r="BM334">
        <v>333</v>
      </c>
      <c r="BN334" t="s">
        <v>214</v>
      </c>
      <c r="BO334" t="str">
        <f t="shared" si="107"/>
        <v>DEMI pg</v>
      </c>
      <c r="BP334" t="b">
        <f t="shared" ref="BP334:BP339" si="108">BO334=BN334</f>
        <v>0</v>
      </c>
    </row>
    <row r="335" spans="1:68">
      <c r="A335">
        <v>334</v>
      </c>
      <c r="B335" t="s">
        <v>215</v>
      </c>
      <c r="C335" s="1">
        <v>8455279933</v>
      </c>
      <c r="D335" t="s">
        <v>280</v>
      </c>
      <c r="E335">
        <f>COUNTIF($C$1:C335,C335)</f>
        <v>5</v>
      </c>
      <c r="F335" t="str">
        <f t="shared" si="106"/>
        <v>84552799335</v>
      </c>
      <c r="G335">
        <f t="shared" si="102"/>
        <v>0</v>
      </c>
      <c r="H335">
        <f t="shared" si="103"/>
        <v>0</v>
      </c>
      <c r="I335" s="12"/>
      <c r="J335" s="12"/>
      <c r="K335" s="12"/>
      <c r="L335" s="12"/>
      <c r="M335" s="12"/>
      <c r="AV335">
        <v>334</v>
      </c>
      <c r="AW335" t="s">
        <v>215</v>
      </c>
      <c r="BM335">
        <v>334</v>
      </c>
      <c r="BN335" t="s">
        <v>215</v>
      </c>
      <c r="BO335" t="str">
        <f t="shared" si="107"/>
        <v>Cida dona ( Marília )</v>
      </c>
      <c r="BP335" t="b">
        <f t="shared" si="108"/>
        <v>1</v>
      </c>
    </row>
    <row r="336" spans="1:68">
      <c r="A336">
        <v>335</v>
      </c>
      <c r="E336">
        <f>COUNTIF($C$1:C336,C336)</f>
        <v>0</v>
      </c>
      <c r="F336" t="str">
        <f t="shared" si="106"/>
        <v>0</v>
      </c>
      <c r="G336">
        <f t="shared" si="102"/>
        <v>0</v>
      </c>
      <c r="H336">
        <f t="shared" si="103"/>
        <v>0</v>
      </c>
      <c r="I336"/>
      <c r="AV336">
        <v>335</v>
      </c>
      <c r="BM336">
        <v>335</v>
      </c>
      <c r="BO336">
        <f t="shared" si="107"/>
        <v>0</v>
      </c>
      <c r="BP336" t="b">
        <f t="shared" si="108"/>
        <v>1</v>
      </c>
    </row>
    <row r="337" spans="1:68">
      <c r="A337">
        <v>336</v>
      </c>
      <c r="E337">
        <f>COUNTIF($C$1:C337,C337)</f>
        <v>0</v>
      </c>
      <c r="F337" t="str">
        <f t="shared" si="106"/>
        <v>0</v>
      </c>
      <c r="G337">
        <f t="shared" si="102"/>
        <v>0</v>
      </c>
      <c r="H337">
        <f t="shared" si="103"/>
        <v>0</v>
      </c>
      <c r="I337"/>
      <c r="AV337">
        <v>336</v>
      </c>
      <c r="BM337">
        <v>336</v>
      </c>
      <c r="BO337">
        <f t="shared" si="107"/>
        <v>0</v>
      </c>
      <c r="BP337" t="b">
        <f t="shared" si="108"/>
        <v>1</v>
      </c>
    </row>
    <row r="338" spans="1:68">
      <c r="A338">
        <v>337</v>
      </c>
      <c r="E338">
        <f>COUNTIF($C$1:C338,C338)</f>
        <v>0</v>
      </c>
      <c r="F338" t="str">
        <f t="shared" si="106"/>
        <v>0</v>
      </c>
      <c r="G338">
        <f t="shared" si="102"/>
        <v>0</v>
      </c>
      <c r="H338">
        <f t="shared" si="103"/>
        <v>0</v>
      </c>
      <c r="I338"/>
      <c r="AV338">
        <v>337</v>
      </c>
      <c r="BM338">
        <v>337</v>
      </c>
      <c r="BO338">
        <f t="shared" si="107"/>
        <v>0</v>
      </c>
      <c r="BP338" t="b">
        <f t="shared" si="108"/>
        <v>1</v>
      </c>
    </row>
    <row r="339" spans="1:68">
      <c r="A339">
        <v>338</v>
      </c>
      <c r="B339" t="s">
        <v>180</v>
      </c>
      <c r="C339" s="1">
        <v>9146203904</v>
      </c>
      <c r="D339" t="s">
        <v>280</v>
      </c>
      <c r="E339">
        <f>COUNTIF($C$1:C339,C339)</f>
        <v>2</v>
      </c>
      <c r="F339" t="str">
        <f t="shared" si="106"/>
        <v>91462039042</v>
      </c>
      <c r="G339">
        <f t="shared" si="102"/>
        <v>0</v>
      </c>
      <c r="H339">
        <f t="shared" si="103"/>
        <v>0</v>
      </c>
      <c r="I339"/>
      <c r="AV339">
        <v>338</v>
      </c>
      <c r="AW339" t="s">
        <v>180</v>
      </c>
      <c r="BM339">
        <v>338</v>
      </c>
      <c r="BN339" t="s">
        <v>180</v>
      </c>
      <c r="BO339" t="str">
        <f t="shared" si="107"/>
        <v>José tile</v>
      </c>
      <c r="BP339" t="b">
        <f t="shared" si="108"/>
        <v>1</v>
      </c>
    </row>
    <row r="340" spans="1:68">
      <c r="A340">
        <v>339</v>
      </c>
      <c r="B340" t="s">
        <v>304</v>
      </c>
      <c r="C340" s="1">
        <v>4754194333</v>
      </c>
      <c r="D340" t="s">
        <v>280</v>
      </c>
      <c r="E340">
        <f>COUNTIF($C$1:C340,C340)</f>
        <v>2</v>
      </c>
      <c r="F340" t="str">
        <f t="shared" si="106"/>
        <v>47541943332</v>
      </c>
      <c r="G340">
        <f t="shared" si="102"/>
        <v>1</v>
      </c>
      <c r="H340">
        <f t="shared" si="103"/>
        <v>0</v>
      </c>
      <c r="I340" s="12"/>
      <c r="J340" s="12"/>
      <c r="K340" s="12"/>
      <c r="L340" s="12"/>
      <c r="M340" s="12"/>
      <c r="AV340">
        <v>339</v>
      </c>
      <c r="AW340" t="s">
        <v>216</v>
      </c>
      <c r="BM340">
        <v>339</v>
      </c>
      <c r="BN340" t="s">
        <v>216</v>
      </c>
      <c r="BO340" t="str">
        <f t="shared" si="107"/>
        <v>FABIO BORA k pg</v>
      </c>
      <c r="BP340" t="b">
        <v>1</v>
      </c>
    </row>
    <row r="341" spans="1:68">
      <c r="A341">
        <v>340</v>
      </c>
      <c r="E341">
        <f>COUNTIF($C$1:C341,C341)</f>
        <v>0</v>
      </c>
      <c r="F341" t="str">
        <f t="shared" si="106"/>
        <v>0</v>
      </c>
      <c r="G341">
        <f t="shared" si="102"/>
        <v>0</v>
      </c>
      <c r="H341">
        <f t="shared" si="103"/>
        <v>0</v>
      </c>
      <c r="I341"/>
      <c r="AV341">
        <v>340</v>
      </c>
      <c r="BM341">
        <v>340</v>
      </c>
      <c r="BO341">
        <f t="shared" si="107"/>
        <v>0</v>
      </c>
      <c r="BP341" t="b">
        <f t="shared" ref="BP341:BP349" si="109">BO341=BN341</f>
        <v>1</v>
      </c>
    </row>
    <row r="342" spans="1:68">
      <c r="A342">
        <v>341</v>
      </c>
      <c r="E342">
        <f>COUNTIF($C$1:C342,C342)</f>
        <v>0</v>
      </c>
      <c r="F342" t="str">
        <f t="shared" si="106"/>
        <v>0</v>
      </c>
      <c r="G342">
        <f t="shared" si="102"/>
        <v>0</v>
      </c>
      <c r="H342">
        <f t="shared" si="103"/>
        <v>0</v>
      </c>
      <c r="I342"/>
      <c r="AV342">
        <v>341</v>
      </c>
      <c r="BM342">
        <v>341</v>
      </c>
      <c r="BO342">
        <f t="shared" si="107"/>
        <v>0</v>
      </c>
      <c r="BP342" t="b">
        <f t="shared" si="109"/>
        <v>1</v>
      </c>
    </row>
    <row r="343" spans="1:68">
      <c r="A343">
        <v>342</v>
      </c>
      <c r="B343" t="s">
        <v>217</v>
      </c>
      <c r="C343" s="1">
        <v>9144904255</v>
      </c>
      <c r="D343" t="s">
        <v>280</v>
      </c>
      <c r="E343">
        <f>COUNTIF($C$1:C343,C343)</f>
        <v>3</v>
      </c>
      <c r="F343" t="str">
        <f t="shared" si="106"/>
        <v>91449042553</v>
      </c>
      <c r="G343">
        <f t="shared" si="102"/>
        <v>1</v>
      </c>
      <c r="H343">
        <f t="shared" si="103"/>
        <v>0</v>
      </c>
      <c r="I343" s="12"/>
      <c r="J343" s="12"/>
      <c r="K343" s="12"/>
      <c r="L343" s="12"/>
      <c r="M343" s="12"/>
      <c r="AV343">
        <v>342</v>
      </c>
      <c r="AW343" t="s">
        <v>217</v>
      </c>
      <c r="BM343">
        <v>342</v>
      </c>
      <c r="BN343" t="s">
        <v>217</v>
      </c>
      <c r="BO343" t="str">
        <f t="shared" si="107"/>
        <v>CARLOS SERAFIM. Pg</v>
      </c>
      <c r="BP343" t="b">
        <f t="shared" si="109"/>
        <v>1</v>
      </c>
    </row>
    <row r="344" spans="1:68">
      <c r="A344">
        <v>343</v>
      </c>
      <c r="E344">
        <f>COUNTIF($C$1:C344,C344)</f>
        <v>0</v>
      </c>
      <c r="F344" t="str">
        <f t="shared" si="106"/>
        <v>0</v>
      </c>
      <c r="G344">
        <f t="shared" si="102"/>
        <v>0</v>
      </c>
      <c r="H344">
        <f t="shared" si="103"/>
        <v>0</v>
      </c>
      <c r="I344"/>
      <c r="AV344">
        <v>343</v>
      </c>
      <c r="BM344">
        <v>343</v>
      </c>
      <c r="BO344">
        <f t="shared" si="107"/>
        <v>0</v>
      </c>
      <c r="BP344" t="b">
        <f t="shared" si="109"/>
        <v>1</v>
      </c>
    </row>
    <row r="345" spans="1:68">
      <c r="A345">
        <v>344</v>
      </c>
      <c r="E345">
        <f>COUNTIF($C$1:C345,C345)</f>
        <v>0</v>
      </c>
      <c r="F345" t="str">
        <f t="shared" si="106"/>
        <v>0</v>
      </c>
      <c r="G345">
        <f t="shared" si="102"/>
        <v>0</v>
      </c>
      <c r="H345">
        <f t="shared" si="103"/>
        <v>0</v>
      </c>
      <c r="I345"/>
      <c r="AV345">
        <v>344</v>
      </c>
      <c r="BM345">
        <v>344</v>
      </c>
      <c r="BO345">
        <f t="shared" si="107"/>
        <v>0</v>
      </c>
      <c r="BP345" t="b">
        <f t="shared" si="109"/>
        <v>1</v>
      </c>
    </row>
    <row r="346" spans="1:68">
      <c r="A346">
        <v>345</v>
      </c>
      <c r="B346" t="s">
        <v>218</v>
      </c>
      <c r="C346" s="1">
        <v>4752390719</v>
      </c>
      <c r="D346" t="s">
        <v>280</v>
      </c>
      <c r="E346">
        <f>COUNTIF($C$1:C346,C346)</f>
        <v>1</v>
      </c>
      <c r="F346" t="str">
        <f t="shared" si="106"/>
        <v>47523907191</v>
      </c>
      <c r="G346">
        <f t="shared" si="102"/>
        <v>1</v>
      </c>
      <c r="H346">
        <f t="shared" si="103"/>
        <v>0</v>
      </c>
      <c r="I346" s="12"/>
      <c r="J346" s="12"/>
      <c r="K346" s="12"/>
      <c r="L346" s="12"/>
      <c r="M346" s="12"/>
      <c r="AV346">
        <v>345</v>
      </c>
      <c r="AW346" t="s">
        <v>218</v>
      </c>
      <c r="BM346">
        <v>345</v>
      </c>
      <c r="BN346" t="s">
        <v>218</v>
      </c>
      <c r="BO346" t="str">
        <f t="shared" si="107"/>
        <v>EDERALDO pg</v>
      </c>
      <c r="BP346" t="b">
        <f t="shared" si="109"/>
        <v>1</v>
      </c>
    </row>
    <row r="347" spans="1:68">
      <c r="A347">
        <v>346</v>
      </c>
      <c r="B347" t="s">
        <v>162</v>
      </c>
      <c r="C347" s="1">
        <v>9143560756</v>
      </c>
      <c r="D347" t="s">
        <v>280</v>
      </c>
      <c r="E347">
        <f>COUNTIF($C$1:C347,C347)</f>
        <v>2</v>
      </c>
      <c r="F347" t="str">
        <f t="shared" si="106"/>
        <v>91435607562</v>
      </c>
      <c r="G347">
        <f t="shared" si="102"/>
        <v>0</v>
      </c>
      <c r="H347">
        <f t="shared" si="103"/>
        <v>0</v>
      </c>
      <c r="I347"/>
      <c r="AV347">
        <v>346</v>
      </c>
      <c r="AW347" t="s">
        <v>162</v>
      </c>
      <c r="BM347">
        <v>346</v>
      </c>
      <c r="BN347" t="s">
        <v>162</v>
      </c>
      <c r="BO347" t="str">
        <f t="shared" si="107"/>
        <v>RAFAEL IDEAL BRASIL</v>
      </c>
      <c r="BP347" t="b">
        <f t="shared" si="109"/>
        <v>1</v>
      </c>
    </row>
    <row r="348" spans="1:68">
      <c r="A348">
        <v>347</v>
      </c>
      <c r="B348" t="s">
        <v>219</v>
      </c>
      <c r="D348" t="s">
        <v>281</v>
      </c>
      <c r="E348">
        <f>COUNTIF($C$1:C348,C348)</f>
        <v>0</v>
      </c>
      <c r="F348" t="str">
        <f t="shared" si="106"/>
        <v>0</v>
      </c>
      <c r="G348">
        <f t="shared" si="102"/>
        <v>0</v>
      </c>
      <c r="H348">
        <f t="shared" si="103"/>
        <v>0</v>
      </c>
      <c r="I348"/>
      <c r="AV348">
        <v>347</v>
      </c>
      <c r="AW348" t="s">
        <v>219</v>
      </c>
      <c r="BM348">
        <v>347</v>
      </c>
      <c r="BN348" t="s">
        <v>219</v>
      </c>
      <c r="BO348" t="str">
        <f t="shared" si="107"/>
        <v>Monica Bento</v>
      </c>
      <c r="BP348" t="b">
        <f t="shared" si="109"/>
        <v>1</v>
      </c>
    </row>
    <row r="349" spans="1:68">
      <c r="A349">
        <v>348</v>
      </c>
      <c r="B349" t="s">
        <v>220</v>
      </c>
      <c r="C349" s="1">
        <v>9143544961</v>
      </c>
      <c r="D349" t="s">
        <v>280</v>
      </c>
      <c r="E349">
        <f>COUNTIF($C$1:C349,C349)</f>
        <v>1</v>
      </c>
      <c r="F349" t="str">
        <f t="shared" si="106"/>
        <v>91435449611</v>
      </c>
      <c r="G349">
        <f t="shared" si="102"/>
        <v>0</v>
      </c>
      <c r="H349">
        <f t="shared" si="103"/>
        <v>0</v>
      </c>
      <c r="I349"/>
      <c r="AV349">
        <v>348</v>
      </c>
      <c r="AW349" t="s">
        <v>220</v>
      </c>
      <c r="BM349">
        <v>348</v>
      </c>
      <c r="BN349" t="s">
        <v>220</v>
      </c>
      <c r="BO349" t="str">
        <f t="shared" si="107"/>
        <v>João da Deli</v>
      </c>
      <c r="BP349" t="b">
        <f t="shared" si="109"/>
        <v>1</v>
      </c>
    </row>
    <row r="350" spans="1:68">
      <c r="A350">
        <v>349</v>
      </c>
      <c r="B350" t="s">
        <v>332</v>
      </c>
      <c r="C350" s="1">
        <v>9144904255</v>
      </c>
      <c r="D350" t="s">
        <v>280</v>
      </c>
      <c r="E350">
        <f>COUNTIF($C$1:C350,C350)</f>
        <v>4</v>
      </c>
      <c r="F350" t="str">
        <f t="shared" si="106"/>
        <v>91449042554</v>
      </c>
      <c r="G350">
        <f t="shared" si="102"/>
        <v>1</v>
      </c>
      <c r="H350">
        <f t="shared" si="103"/>
        <v>0</v>
      </c>
      <c r="I350"/>
      <c r="AV350">
        <v>349</v>
      </c>
      <c r="AW350" t="s">
        <v>221</v>
      </c>
      <c r="BM350">
        <v>349</v>
      </c>
      <c r="BN350" t="s">
        <v>221</v>
      </c>
      <c r="BO350" t="str">
        <f t="shared" si="107"/>
        <v>PEDRO CARLOS pg</v>
      </c>
      <c r="BP350" t="b">
        <v>1</v>
      </c>
    </row>
    <row r="351" spans="1:68">
      <c r="A351">
        <v>350</v>
      </c>
      <c r="B351" t="s">
        <v>383</v>
      </c>
      <c r="C351" s="1">
        <v>9143569767</v>
      </c>
      <c r="D351" t="s">
        <v>280</v>
      </c>
      <c r="E351">
        <f>COUNTIF($C$1:C351,C351)</f>
        <v>2</v>
      </c>
      <c r="F351" t="str">
        <f t="shared" si="106"/>
        <v>91435697672</v>
      </c>
      <c r="G351">
        <f t="shared" si="102"/>
        <v>0</v>
      </c>
      <c r="H351">
        <f t="shared" si="103"/>
        <v>1</v>
      </c>
      <c r="I351" s="12"/>
      <c r="J351" s="12"/>
      <c r="K351" s="12"/>
      <c r="L351" s="12"/>
      <c r="M351" s="12"/>
      <c r="AV351">
        <v>350</v>
      </c>
      <c r="AW351" t="s">
        <v>222</v>
      </c>
      <c r="BM351">
        <v>350</v>
      </c>
      <c r="BN351" t="s">
        <v>222</v>
      </c>
      <c r="BO351" t="str">
        <f t="shared" si="107"/>
        <v>Eduardo tile (f)</v>
      </c>
      <c r="BP351" t="b">
        <f>BO351=BN351</f>
        <v>0</v>
      </c>
    </row>
    <row r="352" spans="1:68">
      <c r="A352">
        <v>351</v>
      </c>
      <c r="B352" t="s">
        <v>318</v>
      </c>
      <c r="C352" s="1">
        <v>9148799779</v>
      </c>
      <c r="D352" t="s">
        <v>280</v>
      </c>
      <c r="E352">
        <f>COUNTIF($C$1:C352,C352)</f>
        <v>2</v>
      </c>
      <c r="F352" t="str">
        <f t="shared" si="106"/>
        <v>91487997792</v>
      </c>
      <c r="G352">
        <f t="shared" si="102"/>
        <v>1</v>
      </c>
      <c r="H352">
        <f t="shared" si="103"/>
        <v>0</v>
      </c>
      <c r="I352"/>
      <c r="AV352">
        <v>351</v>
      </c>
      <c r="AW352" t="s">
        <v>223</v>
      </c>
      <c r="BM352">
        <v>351</v>
      </c>
      <c r="BN352" t="s">
        <v>223</v>
      </c>
      <c r="BO352" t="str">
        <f t="shared" si="107"/>
        <v>João/folho pg</v>
      </c>
      <c r="BP352" t="b">
        <v>1</v>
      </c>
    </row>
    <row r="353" spans="1:68">
      <c r="A353">
        <v>352</v>
      </c>
      <c r="E353">
        <f>COUNTIF($C$1:C353,C353)</f>
        <v>0</v>
      </c>
      <c r="F353" t="str">
        <f t="shared" si="106"/>
        <v>0</v>
      </c>
      <c r="G353">
        <f t="shared" si="102"/>
        <v>0</v>
      </c>
      <c r="H353">
        <f t="shared" si="103"/>
        <v>0</v>
      </c>
      <c r="I353"/>
      <c r="AV353">
        <v>352</v>
      </c>
      <c r="BM353">
        <v>352</v>
      </c>
      <c r="BO353">
        <f t="shared" si="107"/>
        <v>0</v>
      </c>
      <c r="BP353" t="b">
        <f t="shared" ref="BP353:BP363" si="110">BO353=BN353</f>
        <v>1</v>
      </c>
    </row>
    <row r="354" spans="1:68">
      <c r="A354">
        <v>353</v>
      </c>
      <c r="E354">
        <f>COUNTIF($C$1:C354,C354)</f>
        <v>0</v>
      </c>
      <c r="F354" t="str">
        <f t="shared" si="106"/>
        <v>0</v>
      </c>
      <c r="G354">
        <f t="shared" si="102"/>
        <v>0</v>
      </c>
      <c r="H354">
        <f t="shared" si="103"/>
        <v>0</v>
      </c>
      <c r="I354"/>
      <c r="AV354">
        <v>353</v>
      </c>
      <c r="BM354">
        <v>353</v>
      </c>
      <c r="BO354">
        <f t="shared" si="107"/>
        <v>0</v>
      </c>
      <c r="BP354" t="b">
        <f t="shared" si="110"/>
        <v>1</v>
      </c>
    </row>
    <row r="355" spans="1:68">
      <c r="A355">
        <v>354</v>
      </c>
      <c r="B355" t="s">
        <v>382</v>
      </c>
      <c r="C355" s="1">
        <v>9144269391</v>
      </c>
      <c r="D355" t="s">
        <v>280</v>
      </c>
      <c r="E355">
        <f>COUNTIF($C$1:C355,C355)</f>
        <v>3</v>
      </c>
      <c r="F355" t="str">
        <f t="shared" si="106"/>
        <v>91442693913</v>
      </c>
      <c r="G355">
        <f t="shared" si="102"/>
        <v>0</v>
      </c>
      <c r="H355">
        <f t="shared" si="103"/>
        <v>1</v>
      </c>
      <c r="I355"/>
      <c r="AV355">
        <v>354</v>
      </c>
      <c r="AW355" t="s">
        <v>224</v>
      </c>
      <c r="BM355">
        <v>354</v>
      </c>
      <c r="BN355" t="s">
        <v>224</v>
      </c>
      <c r="BO355" t="str">
        <f t="shared" si="107"/>
        <v>Wellington Santana (f)</v>
      </c>
      <c r="BP355" t="b">
        <f t="shared" si="110"/>
        <v>0</v>
      </c>
    </row>
    <row r="356" spans="1:68">
      <c r="A356">
        <v>355</v>
      </c>
      <c r="B356" t="s">
        <v>225</v>
      </c>
      <c r="C356" s="1">
        <v>9144904255</v>
      </c>
      <c r="D356" t="s">
        <v>280</v>
      </c>
      <c r="E356">
        <f>COUNTIF($C$1:C356,C356)</f>
        <v>5</v>
      </c>
      <c r="F356" t="str">
        <f t="shared" si="106"/>
        <v>91449042555</v>
      </c>
      <c r="G356">
        <f t="shared" si="102"/>
        <v>1</v>
      </c>
      <c r="H356">
        <f t="shared" si="103"/>
        <v>0</v>
      </c>
      <c r="I356" s="12"/>
      <c r="J356" s="12"/>
      <c r="K356" s="12"/>
      <c r="L356" s="12"/>
      <c r="M356" s="12"/>
      <c r="AV356">
        <v>355</v>
      </c>
      <c r="AW356" t="s">
        <v>225</v>
      </c>
      <c r="BM356">
        <v>355</v>
      </c>
      <c r="BN356" t="s">
        <v>225</v>
      </c>
      <c r="BO356" t="str">
        <f t="shared" si="107"/>
        <v>Carlos Serafim Pg</v>
      </c>
      <c r="BP356" t="b">
        <f t="shared" si="110"/>
        <v>1</v>
      </c>
    </row>
    <row r="357" spans="1:68">
      <c r="A357">
        <v>356</v>
      </c>
      <c r="B357" t="s">
        <v>226</v>
      </c>
      <c r="C357" s="1">
        <v>9143563105</v>
      </c>
      <c r="D357" t="s">
        <v>280</v>
      </c>
      <c r="E357">
        <f>COUNTIF($C$1:C357,C357)</f>
        <v>1</v>
      </c>
      <c r="F357" t="str">
        <f t="shared" si="106"/>
        <v>91435631051</v>
      </c>
      <c r="G357">
        <f t="shared" si="102"/>
        <v>1</v>
      </c>
      <c r="H357">
        <f t="shared" si="103"/>
        <v>0</v>
      </c>
      <c r="I357" s="12"/>
      <c r="J357" s="12"/>
      <c r="K357" s="12"/>
      <c r="L357" s="12"/>
      <c r="M357" s="12"/>
      <c r="AV357">
        <v>356</v>
      </c>
      <c r="AW357" t="s">
        <v>226</v>
      </c>
      <c r="BM357">
        <v>356</v>
      </c>
      <c r="BN357" t="s">
        <v>226</v>
      </c>
      <c r="BO357" t="str">
        <f t="shared" si="107"/>
        <v>DANIEL SILVA pg</v>
      </c>
      <c r="BP357" t="b">
        <f t="shared" si="110"/>
        <v>1</v>
      </c>
    </row>
    <row r="358" spans="1:68">
      <c r="A358">
        <v>357</v>
      </c>
      <c r="B358" t="s">
        <v>227</v>
      </c>
      <c r="C358" s="1">
        <v>9542976570</v>
      </c>
      <c r="D358" t="s">
        <v>280</v>
      </c>
      <c r="E358">
        <f>COUNTIF($C$1:C358,C358)</f>
        <v>1</v>
      </c>
      <c r="F358" t="str">
        <f t="shared" si="106"/>
        <v>95429765701</v>
      </c>
      <c r="G358">
        <f t="shared" si="102"/>
        <v>0</v>
      </c>
      <c r="H358">
        <f t="shared" si="103"/>
        <v>0</v>
      </c>
      <c r="I358" s="12"/>
      <c r="J358" s="12"/>
      <c r="K358" s="12"/>
      <c r="L358" s="12"/>
      <c r="M358" s="12"/>
      <c r="AV358">
        <v>357</v>
      </c>
      <c r="AW358" t="s">
        <v>227</v>
      </c>
      <c r="BM358">
        <v>357</v>
      </c>
      <c r="BN358" t="s">
        <v>227</v>
      </c>
      <c r="BO358" t="str">
        <f t="shared" si="107"/>
        <v>Berg</v>
      </c>
      <c r="BP358" t="b">
        <f t="shared" si="110"/>
        <v>1</v>
      </c>
    </row>
    <row r="359" spans="1:68">
      <c r="A359">
        <v>358</v>
      </c>
      <c r="E359">
        <f>COUNTIF($C$1:C359,C359)</f>
        <v>0</v>
      </c>
      <c r="F359" t="str">
        <f t="shared" si="106"/>
        <v>0</v>
      </c>
      <c r="G359">
        <f t="shared" si="102"/>
        <v>0</v>
      </c>
      <c r="H359">
        <f t="shared" si="103"/>
        <v>0</v>
      </c>
      <c r="I359"/>
      <c r="AV359">
        <v>358</v>
      </c>
      <c r="BM359">
        <v>358</v>
      </c>
      <c r="BO359">
        <f t="shared" si="107"/>
        <v>0</v>
      </c>
      <c r="BP359" t="b">
        <f t="shared" si="110"/>
        <v>1</v>
      </c>
    </row>
    <row r="360" spans="1:68">
      <c r="A360">
        <v>359</v>
      </c>
      <c r="E360">
        <f>COUNTIF($C$1:C360,C360)</f>
        <v>0</v>
      </c>
      <c r="F360" t="str">
        <f t="shared" si="106"/>
        <v>0</v>
      </c>
      <c r="G360">
        <f t="shared" ref="G360:G423" si="111">IF(IFERROR(FIND("pg",LOWER(B360)),0)=0,0,1)</f>
        <v>0</v>
      </c>
      <c r="H360">
        <f t="shared" ref="H360:H423" si="112">IF(IFERROR(FIND("(f)",LOWER(B360)),0)=0,0,1)</f>
        <v>0</v>
      </c>
      <c r="I360"/>
      <c r="AV360">
        <v>359</v>
      </c>
      <c r="BM360">
        <v>359</v>
      </c>
      <c r="BO360">
        <f t="shared" si="107"/>
        <v>0</v>
      </c>
      <c r="BP360" t="b">
        <f t="shared" si="110"/>
        <v>1</v>
      </c>
    </row>
    <row r="361" spans="1:68">
      <c r="A361">
        <v>360</v>
      </c>
      <c r="B361" t="s">
        <v>384</v>
      </c>
      <c r="C361" s="1">
        <v>2039524111</v>
      </c>
      <c r="D361" t="s">
        <v>280</v>
      </c>
      <c r="E361">
        <f>COUNTIF($C$1:C361,C361)</f>
        <v>3</v>
      </c>
      <c r="F361" t="str">
        <f t="shared" si="106"/>
        <v>20395241113</v>
      </c>
      <c r="G361">
        <f t="shared" si="111"/>
        <v>0</v>
      </c>
      <c r="H361">
        <f t="shared" si="112"/>
        <v>1</v>
      </c>
      <c r="I361"/>
      <c r="AV361">
        <v>360</v>
      </c>
      <c r="AW361" t="s">
        <v>228</v>
      </c>
      <c r="BM361">
        <v>360</v>
      </c>
      <c r="BN361" t="s">
        <v>228</v>
      </c>
      <c r="BO361" t="str">
        <f t="shared" si="107"/>
        <v>Leandro at lpslimo (f)</v>
      </c>
      <c r="BP361" t="b">
        <f t="shared" si="110"/>
        <v>0</v>
      </c>
    </row>
    <row r="362" spans="1:68">
      <c r="A362">
        <v>361</v>
      </c>
      <c r="B362" t="s">
        <v>200</v>
      </c>
      <c r="C362" s="1">
        <v>2039123543</v>
      </c>
      <c r="D362" t="s">
        <v>280</v>
      </c>
      <c r="E362">
        <f>COUNTIF($C$1:C362,C362)</f>
        <v>3</v>
      </c>
      <c r="F362" t="str">
        <f t="shared" si="106"/>
        <v>20391235433</v>
      </c>
      <c r="G362">
        <f t="shared" si="111"/>
        <v>0</v>
      </c>
      <c r="H362">
        <f t="shared" si="112"/>
        <v>0</v>
      </c>
      <c r="I362"/>
      <c r="AV362">
        <v>361</v>
      </c>
      <c r="AW362" t="s">
        <v>200</v>
      </c>
      <c r="BM362">
        <v>361</v>
      </c>
      <c r="BN362" t="s">
        <v>200</v>
      </c>
      <c r="BO362" t="str">
        <f t="shared" si="107"/>
        <v>Mário Paiva</v>
      </c>
      <c r="BP362" t="b">
        <f t="shared" si="110"/>
        <v>1</v>
      </c>
    </row>
    <row r="363" spans="1:68">
      <c r="A363">
        <v>362</v>
      </c>
      <c r="E363">
        <f>COUNTIF($C$1:C363,C363)</f>
        <v>0</v>
      </c>
      <c r="F363" t="str">
        <f t="shared" si="106"/>
        <v>0</v>
      </c>
      <c r="G363">
        <f t="shared" si="111"/>
        <v>0</v>
      </c>
      <c r="H363">
        <f t="shared" si="112"/>
        <v>0</v>
      </c>
      <c r="I363"/>
      <c r="AV363">
        <v>362</v>
      </c>
      <c r="BM363">
        <v>362</v>
      </c>
      <c r="BO363">
        <f t="shared" si="107"/>
        <v>0</v>
      </c>
      <c r="BP363" t="b">
        <f t="shared" si="110"/>
        <v>1</v>
      </c>
    </row>
    <row r="364" spans="1:68">
      <c r="A364">
        <v>363</v>
      </c>
      <c r="B364" t="s">
        <v>315</v>
      </c>
      <c r="C364" s="1">
        <v>9145650041</v>
      </c>
      <c r="D364" t="s">
        <v>280</v>
      </c>
      <c r="E364">
        <f>COUNTIF($C$1:C364,C364)</f>
        <v>4</v>
      </c>
      <c r="F364" t="str">
        <f t="shared" si="106"/>
        <v>91456500414</v>
      </c>
      <c r="G364">
        <f t="shared" si="111"/>
        <v>1</v>
      </c>
      <c r="H364">
        <f t="shared" si="112"/>
        <v>0</v>
      </c>
      <c r="I364" s="12"/>
      <c r="J364" s="12"/>
      <c r="K364" s="12"/>
      <c r="L364" s="12"/>
      <c r="M364" s="12"/>
      <c r="AV364">
        <v>363</v>
      </c>
      <c r="AW364" t="s">
        <v>100</v>
      </c>
      <c r="BM364">
        <v>363</v>
      </c>
      <c r="BN364" t="s">
        <v>100</v>
      </c>
      <c r="BO364" t="str">
        <f t="shared" si="107"/>
        <v>HERNANE pg</v>
      </c>
      <c r="BP364" t="b">
        <v>1</v>
      </c>
    </row>
    <row r="365" spans="1:68">
      <c r="A365">
        <v>364</v>
      </c>
      <c r="B365" t="s">
        <v>229</v>
      </c>
      <c r="C365" s="1">
        <v>9143563105</v>
      </c>
      <c r="D365" t="s">
        <v>280</v>
      </c>
      <c r="E365">
        <f>COUNTIF($C$1:C365,C365)</f>
        <v>2</v>
      </c>
      <c r="F365" t="str">
        <f t="shared" si="106"/>
        <v>91435631052</v>
      </c>
      <c r="G365">
        <f t="shared" si="111"/>
        <v>1</v>
      </c>
      <c r="H365">
        <f t="shared" si="112"/>
        <v>0</v>
      </c>
      <c r="I365" s="12"/>
      <c r="J365" s="12"/>
      <c r="K365" s="12"/>
      <c r="L365" s="12"/>
      <c r="M365" s="12"/>
      <c r="AV365">
        <v>364</v>
      </c>
      <c r="AW365" t="s">
        <v>229</v>
      </c>
      <c r="BM365">
        <v>364</v>
      </c>
      <c r="BN365" t="s">
        <v>229</v>
      </c>
      <c r="BO365" t="str">
        <f t="shared" si="107"/>
        <v>Daniel Silva pg</v>
      </c>
      <c r="BP365" t="b">
        <f>BO365=BN365</f>
        <v>1</v>
      </c>
    </row>
    <row r="366" spans="1:68">
      <c r="A366">
        <v>365</v>
      </c>
      <c r="B366" t="s">
        <v>385</v>
      </c>
      <c r="C366" s="1">
        <v>2035406751</v>
      </c>
      <c r="D366" t="s">
        <v>280</v>
      </c>
      <c r="E366">
        <f>COUNTIF($C$1:C366,C366)</f>
        <v>2</v>
      </c>
      <c r="F366" t="str">
        <f t="shared" si="106"/>
        <v>20354067512</v>
      </c>
      <c r="G366">
        <f t="shared" si="111"/>
        <v>0</v>
      </c>
      <c r="H366">
        <f t="shared" si="112"/>
        <v>1</v>
      </c>
      <c r="I366" s="12"/>
      <c r="J366" s="12"/>
      <c r="K366" s="12"/>
      <c r="L366" s="12"/>
      <c r="M366" s="12"/>
      <c r="AV366">
        <v>365</v>
      </c>
      <c r="AW366" t="s">
        <v>230</v>
      </c>
      <c r="BM366">
        <v>365</v>
      </c>
      <c r="BN366" t="s">
        <v>230</v>
      </c>
      <c r="BO366" t="str">
        <f t="shared" si="107"/>
        <v>BOLA de fogo (f)</v>
      </c>
      <c r="BP366" t="b">
        <v>1</v>
      </c>
    </row>
    <row r="367" spans="1:68">
      <c r="A367">
        <v>366</v>
      </c>
      <c r="E367">
        <f>COUNTIF($C$1:C367,C367)</f>
        <v>0</v>
      </c>
      <c r="F367" t="str">
        <f t="shared" si="106"/>
        <v>0</v>
      </c>
      <c r="G367">
        <f t="shared" si="111"/>
        <v>0</v>
      </c>
      <c r="H367">
        <f t="shared" si="112"/>
        <v>0</v>
      </c>
      <c r="I367"/>
      <c r="AV367">
        <v>366</v>
      </c>
      <c r="BM367">
        <v>366</v>
      </c>
      <c r="BO367">
        <f t="shared" si="107"/>
        <v>0</v>
      </c>
      <c r="BP367" t="b">
        <f t="shared" ref="BP367:BP383" si="113">BO367=BN367</f>
        <v>1</v>
      </c>
    </row>
    <row r="368" spans="1:68">
      <c r="A368">
        <v>367</v>
      </c>
      <c r="B368" t="s">
        <v>109</v>
      </c>
      <c r="C368" s="1">
        <v>9147740936</v>
      </c>
      <c r="D368" t="s">
        <v>280</v>
      </c>
      <c r="E368">
        <f>COUNTIF($C$1:C368,C368)</f>
        <v>2</v>
      </c>
      <c r="F368" t="str">
        <f t="shared" si="106"/>
        <v>91477409362</v>
      </c>
      <c r="G368">
        <f t="shared" si="111"/>
        <v>1</v>
      </c>
      <c r="H368">
        <f t="shared" si="112"/>
        <v>0</v>
      </c>
      <c r="I368" s="12"/>
      <c r="J368" s="12"/>
      <c r="K368" s="12"/>
      <c r="L368" s="12"/>
      <c r="M368" s="12"/>
      <c r="AV368">
        <v>367</v>
      </c>
      <c r="AW368" t="s">
        <v>109</v>
      </c>
      <c r="BM368">
        <v>367</v>
      </c>
      <c r="BN368" t="s">
        <v>109</v>
      </c>
      <c r="BO368" t="str">
        <f t="shared" si="107"/>
        <v>Gustavo Freitas pg</v>
      </c>
      <c r="BP368" t="b">
        <f t="shared" si="113"/>
        <v>1</v>
      </c>
    </row>
    <row r="369" spans="1:68">
      <c r="A369">
        <v>368</v>
      </c>
      <c r="E369">
        <f>COUNTIF($C$1:C369,C369)</f>
        <v>0</v>
      </c>
      <c r="F369" t="str">
        <f t="shared" si="106"/>
        <v>0</v>
      </c>
      <c r="G369">
        <f t="shared" si="111"/>
        <v>0</v>
      </c>
      <c r="H369">
        <f t="shared" si="112"/>
        <v>0</v>
      </c>
      <c r="I369"/>
      <c r="AV369">
        <v>368</v>
      </c>
      <c r="BM369">
        <v>368</v>
      </c>
      <c r="BO369">
        <f t="shared" si="107"/>
        <v>0</v>
      </c>
      <c r="BP369" t="b">
        <f t="shared" si="113"/>
        <v>1</v>
      </c>
    </row>
    <row r="370" spans="1:68">
      <c r="A370">
        <v>369</v>
      </c>
      <c r="B370" t="s">
        <v>231</v>
      </c>
      <c r="C370" s="1">
        <v>2038146659</v>
      </c>
      <c r="D370" t="s">
        <v>280</v>
      </c>
      <c r="E370">
        <f>COUNTIF($C$1:C370,C370)</f>
        <v>1</v>
      </c>
      <c r="F370" t="str">
        <f t="shared" si="106"/>
        <v>20381466591</v>
      </c>
      <c r="G370">
        <f t="shared" si="111"/>
        <v>1</v>
      </c>
      <c r="H370">
        <f t="shared" si="112"/>
        <v>0</v>
      </c>
      <c r="I370"/>
      <c r="AV370">
        <v>369</v>
      </c>
      <c r="AW370" t="s">
        <v>231</v>
      </c>
      <c r="BM370">
        <v>369</v>
      </c>
      <c r="BN370" t="s">
        <v>231</v>
      </c>
      <c r="BO370" t="str">
        <f t="shared" si="107"/>
        <v>Leonardo Viana pg</v>
      </c>
      <c r="BP370" t="b">
        <f t="shared" si="113"/>
        <v>1</v>
      </c>
    </row>
    <row r="371" spans="1:68">
      <c r="A371">
        <v>370</v>
      </c>
      <c r="B371" t="s">
        <v>232</v>
      </c>
      <c r="C371" s="1">
        <v>9148043987</v>
      </c>
      <c r="D371" t="s">
        <v>280</v>
      </c>
      <c r="E371">
        <f>COUNTIF($C$1:C371,C371)</f>
        <v>1</v>
      </c>
      <c r="F371" t="str">
        <f t="shared" si="106"/>
        <v>91480439871</v>
      </c>
      <c r="G371">
        <f t="shared" si="111"/>
        <v>0</v>
      </c>
      <c r="H371">
        <f t="shared" si="112"/>
        <v>0</v>
      </c>
      <c r="I371"/>
      <c r="AV371">
        <v>370</v>
      </c>
      <c r="AW371" t="s">
        <v>232</v>
      </c>
      <c r="BM371">
        <v>370</v>
      </c>
      <c r="BN371" t="s">
        <v>232</v>
      </c>
      <c r="BO371" t="str">
        <f t="shared" si="107"/>
        <v>WEC</v>
      </c>
      <c r="BP371" t="b">
        <f t="shared" si="113"/>
        <v>1</v>
      </c>
    </row>
    <row r="372" spans="1:68">
      <c r="A372">
        <v>371</v>
      </c>
      <c r="E372">
        <f>COUNTIF($C$1:C372,C372)</f>
        <v>0</v>
      </c>
      <c r="F372" t="str">
        <f t="shared" si="106"/>
        <v>0</v>
      </c>
      <c r="G372">
        <f t="shared" si="111"/>
        <v>0</v>
      </c>
      <c r="H372">
        <f t="shared" si="112"/>
        <v>0</v>
      </c>
      <c r="I372"/>
      <c r="AV372">
        <v>371</v>
      </c>
      <c r="BM372">
        <v>371</v>
      </c>
      <c r="BO372">
        <f t="shared" si="107"/>
        <v>0</v>
      </c>
      <c r="BP372" t="b">
        <f t="shared" si="113"/>
        <v>1</v>
      </c>
    </row>
    <row r="373" spans="1:68">
      <c r="A373">
        <v>372</v>
      </c>
      <c r="B373" t="s">
        <v>355</v>
      </c>
      <c r="C373" s="1">
        <v>9144175819</v>
      </c>
      <c r="D373" t="s">
        <v>280</v>
      </c>
      <c r="E373">
        <f>COUNTIF($C$1:C373,C373)</f>
        <v>3</v>
      </c>
      <c r="F373" t="str">
        <f t="shared" si="106"/>
        <v>91441758193</v>
      </c>
      <c r="G373">
        <f t="shared" si="111"/>
        <v>1</v>
      </c>
      <c r="H373">
        <f t="shared" si="112"/>
        <v>0</v>
      </c>
      <c r="I373" s="12"/>
      <c r="J373" s="12"/>
      <c r="K373" s="12"/>
      <c r="L373" s="12"/>
      <c r="M373" s="12"/>
      <c r="AV373">
        <v>372</v>
      </c>
      <c r="AW373" t="s">
        <v>203</v>
      </c>
      <c r="BM373">
        <v>372</v>
      </c>
      <c r="BN373" t="s">
        <v>203</v>
      </c>
      <c r="BO373" t="str">
        <f t="shared" si="107"/>
        <v>ANDERSON POLICARPO pg</v>
      </c>
      <c r="BP373" t="b">
        <f t="shared" si="113"/>
        <v>0</v>
      </c>
    </row>
    <row r="374" spans="1:68">
      <c r="A374">
        <v>373</v>
      </c>
      <c r="E374">
        <f>COUNTIF($C$1:C374,C374)</f>
        <v>0</v>
      </c>
      <c r="F374" t="str">
        <f t="shared" si="106"/>
        <v>0</v>
      </c>
      <c r="G374">
        <f t="shared" si="111"/>
        <v>0</v>
      </c>
      <c r="H374">
        <f t="shared" si="112"/>
        <v>0</v>
      </c>
      <c r="I374"/>
      <c r="AV374">
        <v>373</v>
      </c>
      <c r="BM374">
        <v>373</v>
      </c>
      <c r="BO374">
        <f t="shared" si="107"/>
        <v>0</v>
      </c>
      <c r="BP374" t="b">
        <f t="shared" si="113"/>
        <v>1</v>
      </c>
    </row>
    <row r="375" spans="1:68">
      <c r="A375">
        <v>374</v>
      </c>
      <c r="E375">
        <f>COUNTIF($C$1:C375,C375)</f>
        <v>0</v>
      </c>
      <c r="F375" t="str">
        <f t="shared" si="106"/>
        <v>0</v>
      </c>
      <c r="G375">
        <f t="shared" si="111"/>
        <v>0</v>
      </c>
      <c r="H375">
        <f t="shared" si="112"/>
        <v>0</v>
      </c>
      <c r="I375"/>
      <c r="AV375">
        <v>374</v>
      </c>
      <c r="BM375">
        <v>374</v>
      </c>
      <c r="BO375">
        <f t="shared" si="107"/>
        <v>0</v>
      </c>
      <c r="BP375" t="b">
        <f t="shared" si="113"/>
        <v>1</v>
      </c>
    </row>
    <row r="376" spans="1:68">
      <c r="A376">
        <v>375</v>
      </c>
      <c r="E376">
        <f>COUNTIF($C$1:C376,C376)</f>
        <v>0</v>
      </c>
      <c r="F376" t="str">
        <f t="shared" si="106"/>
        <v>0</v>
      </c>
      <c r="G376">
        <f t="shared" si="111"/>
        <v>0</v>
      </c>
      <c r="H376">
        <f t="shared" si="112"/>
        <v>0</v>
      </c>
      <c r="I376"/>
      <c r="AV376">
        <v>375</v>
      </c>
      <c r="BM376">
        <v>375</v>
      </c>
      <c r="BO376">
        <f t="shared" si="107"/>
        <v>0</v>
      </c>
      <c r="BP376" t="b">
        <f t="shared" si="113"/>
        <v>1</v>
      </c>
    </row>
    <row r="377" spans="1:68">
      <c r="A377">
        <v>376</v>
      </c>
      <c r="E377">
        <f>COUNTIF($C$1:C377,C377)</f>
        <v>0</v>
      </c>
      <c r="F377" t="str">
        <f t="shared" si="106"/>
        <v>0</v>
      </c>
      <c r="G377">
        <f t="shared" si="111"/>
        <v>0</v>
      </c>
      <c r="H377">
        <f t="shared" si="112"/>
        <v>0</v>
      </c>
      <c r="I377"/>
      <c r="AV377">
        <v>376</v>
      </c>
      <c r="BM377">
        <v>376</v>
      </c>
      <c r="BO377">
        <f t="shared" si="107"/>
        <v>0</v>
      </c>
      <c r="BP377" t="b">
        <f t="shared" si="113"/>
        <v>1</v>
      </c>
    </row>
    <row r="378" spans="1:68">
      <c r="A378">
        <v>377</v>
      </c>
      <c r="B378" t="s">
        <v>112</v>
      </c>
      <c r="C378" s="1">
        <v>9144901203</v>
      </c>
      <c r="D378" t="s">
        <v>280</v>
      </c>
      <c r="E378">
        <f>COUNTIF($C$1:C378,C378)</f>
        <v>2</v>
      </c>
      <c r="F378" t="str">
        <f t="shared" si="106"/>
        <v>91449012032</v>
      </c>
      <c r="G378">
        <f t="shared" si="111"/>
        <v>1</v>
      </c>
      <c r="H378">
        <f t="shared" si="112"/>
        <v>0</v>
      </c>
      <c r="I378"/>
      <c r="AV378">
        <v>377</v>
      </c>
      <c r="AW378" t="s">
        <v>112</v>
      </c>
      <c r="BM378">
        <v>377</v>
      </c>
      <c r="BN378" t="s">
        <v>112</v>
      </c>
      <c r="BO378" t="str">
        <f t="shared" si="107"/>
        <v>WENDER pg</v>
      </c>
      <c r="BP378" t="b">
        <f t="shared" si="113"/>
        <v>1</v>
      </c>
    </row>
    <row r="379" spans="1:68">
      <c r="A379">
        <v>378</v>
      </c>
      <c r="E379">
        <f>COUNTIF($C$1:C379,C379)</f>
        <v>0</v>
      </c>
      <c r="F379" t="str">
        <f t="shared" si="106"/>
        <v>0</v>
      </c>
      <c r="G379">
        <f t="shared" si="111"/>
        <v>0</v>
      </c>
      <c r="H379">
        <f t="shared" si="112"/>
        <v>0</v>
      </c>
      <c r="I379"/>
      <c r="AV379">
        <v>378</v>
      </c>
      <c r="BM379">
        <v>378</v>
      </c>
      <c r="BO379">
        <f t="shared" si="107"/>
        <v>0</v>
      </c>
      <c r="BP379" t="b">
        <f t="shared" si="113"/>
        <v>1</v>
      </c>
    </row>
    <row r="380" spans="1:68">
      <c r="A380">
        <v>379</v>
      </c>
      <c r="B380" t="s">
        <v>233</v>
      </c>
      <c r="C380" s="1">
        <v>9147602272</v>
      </c>
      <c r="D380" t="s">
        <v>280</v>
      </c>
      <c r="E380">
        <f>COUNTIF($C$1:C380,C380)</f>
        <v>6</v>
      </c>
      <c r="F380" t="str">
        <f t="shared" si="106"/>
        <v>91476022726</v>
      </c>
      <c r="G380">
        <f t="shared" si="111"/>
        <v>0</v>
      </c>
      <c r="H380">
        <f t="shared" si="112"/>
        <v>0</v>
      </c>
      <c r="I380" s="12"/>
      <c r="J380" s="12"/>
      <c r="K380" s="12"/>
      <c r="L380" s="12"/>
      <c r="M380" s="12"/>
      <c r="AV380">
        <v>379</v>
      </c>
      <c r="AW380" t="s">
        <v>233</v>
      </c>
      <c r="BM380">
        <v>379</v>
      </c>
      <c r="BN380" t="s">
        <v>233</v>
      </c>
      <c r="BO380" t="str">
        <f t="shared" si="107"/>
        <v>DALNTON</v>
      </c>
      <c r="BP380" t="b">
        <f t="shared" si="113"/>
        <v>1</v>
      </c>
    </row>
    <row r="381" spans="1:68">
      <c r="A381">
        <v>380</v>
      </c>
      <c r="B381" t="s">
        <v>234</v>
      </c>
      <c r="C381" s="1">
        <v>4752337695</v>
      </c>
      <c r="D381" t="s">
        <v>280</v>
      </c>
      <c r="E381">
        <f>COUNTIF($C$1:C381,C381)</f>
        <v>1</v>
      </c>
      <c r="F381" t="str">
        <f t="shared" si="106"/>
        <v>47523376951</v>
      </c>
      <c r="G381">
        <f t="shared" si="111"/>
        <v>0</v>
      </c>
      <c r="H381">
        <f t="shared" si="112"/>
        <v>0</v>
      </c>
      <c r="I381" s="12"/>
      <c r="J381" s="12"/>
      <c r="K381" s="12"/>
      <c r="L381" s="12"/>
      <c r="M381" s="12"/>
      <c r="AV381">
        <v>380</v>
      </c>
      <c r="AW381" t="s">
        <v>234</v>
      </c>
      <c r="BM381">
        <v>380</v>
      </c>
      <c r="BN381" t="s">
        <v>234</v>
      </c>
      <c r="BO381" t="str">
        <f t="shared" si="107"/>
        <v>GV</v>
      </c>
      <c r="BP381" t="b">
        <f t="shared" si="113"/>
        <v>1</v>
      </c>
    </row>
    <row r="382" spans="1:68">
      <c r="A382">
        <v>381</v>
      </c>
      <c r="E382">
        <f>COUNTIF($C$1:C382,C382)</f>
        <v>0</v>
      </c>
      <c r="F382" t="str">
        <f t="shared" si="106"/>
        <v>0</v>
      </c>
      <c r="G382">
        <f t="shared" si="111"/>
        <v>0</v>
      </c>
      <c r="H382">
        <f t="shared" si="112"/>
        <v>0</v>
      </c>
      <c r="I382"/>
      <c r="AV382">
        <v>381</v>
      </c>
      <c r="BM382">
        <v>381</v>
      </c>
      <c r="BO382">
        <f t="shared" si="107"/>
        <v>0</v>
      </c>
      <c r="BP382" t="b">
        <f t="shared" si="113"/>
        <v>1</v>
      </c>
    </row>
    <row r="383" spans="1:68">
      <c r="A383">
        <v>382</v>
      </c>
      <c r="B383" t="s">
        <v>235</v>
      </c>
      <c r="C383" s="1">
        <v>9144690686</v>
      </c>
      <c r="D383" t="s">
        <v>280</v>
      </c>
      <c r="E383">
        <f>COUNTIF($C$1:C383,C383)</f>
        <v>2</v>
      </c>
      <c r="F383" t="str">
        <f t="shared" si="106"/>
        <v>91446906862</v>
      </c>
      <c r="G383">
        <f t="shared" si="111"/>
        <v>0</v>
      </c>
      <c r="H383">
        <f t="shared" si="112"/>
        <v>0</v>
      </c>
      <c r="I383" s="12"/>
      <c r="J383" s="12"/>
      <c r="K383" s="12"/>
      <c r="L383" s="12"/>
      <c r="M383" s="12"/>
      <c r="AV383">
        <v>382</v>
      </c>
      <c r="AW383" t="s">
        <v>235</v>
      </c>
      <c r="BM383">
        <v>382</v>
      </c>
      <c r="BN383" t="s">
        <v>235</v>
      </c>
      <c r="BO383" t="str">
        <f t="shared" si="107"/>
        <v>ALEX BARBOSA</v>
      </c>
      <c r="BP383" t="b">
        <f t="shared" si="113"/>
        <v>1</v>
      </c>
    </row>
    <row r="384" spans="1:68">
      <c r="A384">
        <v>383</v>
      </c>
      <c r="B384" t="s">
        <v>315</v>
      </c>
      <c r="C384" s="1">
        <v>9145650041</v>
      </c>
      <c r="D384" t="s">
        <v>280</v>
      </c>
      <c r="E384">
        <f>COUNTIF($C$1:C384,C384)</f>
        <v>5</v>
      </c>
      <c r="F384" t="str">
        <f t="shared" si="106"/>
        <v>91456500415</v>
      </c>
      <c r="G384">
        <f t="shared" si="111"/>
        <v>1</v>
      </c>
      <c r="H384">
        <f t="shared" si="112"/>
        <v>0</v>
      </c>
      <c r="I384" s="12"/>
      <c r="J384" s="12"/>
      <c r="K384" s="12"/>
      <c r="L384" s="12"/>
      <c r="M384" s="12"/>
      <c r="AV384">
        <v>383</v>
      </c>
      <c r="AW384" t="s">
        <v>236</v>
      </c>
      <c r="BM384">
        <v>383</v>
      </c>
      <c r="BN384" t="s">
        <v>236</v>
      </c>
      <c r="BO384" t="str">
        <f t="shared" si="107"/>
        <v>HERNANE pg</v>
      </c>
      <c r="BP384" t="b">
        <v>1</v>
      </c>
    </row>
    <row r="385" spans="1:68">
      <c r="A385">
        <v>384</v>
      </c>
      <c r="B385" t="s">
        <v>358</v>
      </c>
      <c r="C385" s="1">
        <v>9144909467</v>
      </c>
      <c r="D385" t="s">
        <v>280</v>
      </c>
      <c r="E385">
        <f>COUNTIF($C$1:C385,C385)</f>
        <v>1</v>
      </c>
      <c r="F385" t="str">
        <f t="shared" si="106"/>
        <v>91449094671</v>
      </c>
      <c r="G385">
        <f t="shared" si="111"/>
        <v>1</v>
      </c>
      <c r="H385">
        <f t="shared" si="112"/>
        <v>0</v>
      </c>
      <c r="I385"/>
      <c r="AV385">
        <v>384</v>
      </c>
      <c r="AW385" t="s">
        <v>237</v>
      </c>
      <c r="BM385">
        <v>384</v>
      </c>
      <c r="BN385" t="s">
        <v>237</v>
      </c>
      <c r="BO385" t="str">
        <f t="shared" si="107"/>
        <v>Tuca tucano pg</v>
      </c>
      <c r="BP385" t="b">
        <f t="shared" ref="BP385:BP391" si="114">BO385=BN385</f>
        <v>0</v>
      </c>
    </row>
    <row r="386" spans="1:68">
      <c r="A386">
        <v>385</v>
      </c>
      <c r="B386" t="s">
        <v>386</v>
      </c>
      <c r="C386" s="1">
        <v>9146095697</v>
      </c>
      <c r="D386" t="s">
        <v>280</v>
      </c>
      <c r="E386">
        <f>COUNTIF($C$1:C386,C386)</f>
        <v>5</v>
      </c>
      <c r="F386" t="str">
        <f t="shared" ref="F386:F449" si="115">C386&amp;E386</f>
        <v>91460956975</v>
      </c>
      <c r="G386">
        <f t="shared" si="111"/>
        <v>0</v>
      </c>
      <c r="H386">
        <f t="shared" si="112"/>
        <v>1</v>
      </c>
      <c r="I386"/>
      <c r="AV386">
        <v>385</v>
      </c>
      <c r="AW386" t="s">
        <v>238</v>
      </c>
      <c r="BM386">
        <v>385</v>
      </c>
      <c r="BN386" t="s">
        <v>238</v>
      </c>
      <c r="BO386" t="str">
        <f t="shared" ref="BO386:BO449" si="116">VLOOKUP(BM386,A:B,2,0)</f>
        <v>L&amp;M wood floor (f)</v>
      </c>
      <c r="BP386" t="b">
        <f t="shared" si="114"/>
        <v>0</v>
      </c>
    </row>
    <row r="387" spans="1:68">
      <c r="A387">
        <v>386</v>
      </c>
      <c r="B387" t="s">
        <v>239</v>
      </c>
      <c r="C387" s="1">
        <v>2038078841</v>
      </c>
      <c r="D387" t="s">
        <v>280</v>
      </c>
      <c r="E387">
        <f>COUNTIF($C$1:C387,C387)</f>
        <v>2</v>
      </c>
      <c r="F387" t="str">
        <f t="shared" si="115"/>
        <v>20380788412</v>
      </c>
      <c r="G387">
        <f t="shared" si="111"/>
        <v>1</v>
      </c>
      <c r="H387">
        <f t="shared" si="112"/>
        <v>0</v>
      </c>
      <c r="I387"/>
      <c r="AV387">
        <v>386</v>
      </c>
      <c r="AW387" t="s">
        <v>239</v>
      </c>
      <c r="BM387">
        <v>386</v>
      </c>
      <c r="BN387" t="s">
        <v>239</v>
      </c>
      <c r="BO387" t="str">
        <f t="shared" si="116"/>
        <v>Ronni pg</v>
      </c>
      <c r="BP387" t="b">
        <f t="shared" si="114"/>
        <v>1</v>
      </c>
    </row>
    <row r="388" spans="1:68">
      <c r="A388">
        <v>387</v>
      </c>
      <c r="B388" t="s">
        <v>240</v>
      </c>
      <c r="C388" s="1">
        <v>9148302799</v>
      </c>
      <c r="D388" t="s">
        <v>280</v>
      </c>
      <c r="E388">
        <f>COUNTIF($C$1:C388,C388)</f>
        <v>2</v>
      </c>
      <c r="F388" t="str">
        <f t="shared" si="115"/>
        <v>91483027992</v>
      </c>
      <c r="G388">
        <f t="shared" si="111"/>
        <v>1</v>
      </c>
      <c r="H388">
        <f t="shared" si="112"/>
        <v>0</v>
      </c>
      <c r="I388"/>
      <c r="AV388">
        <v>387</v>
      </c>
      <c r="AW388" t="s">
        <v>240</v>
      </c>
      <c r="BM388">
        <v>387</v>
      </c>
      <c r="BN388" t="s">
        <v>240</v>
      </c>
      <c r="BO388" t="str">
        <f t="shared" si="116"/>
        <v>Ronan (Empire home solution)pg</v>
      </c>
      <c r="BP388" t="b">
        <f t="shared" si="114"/>
        <v>1</v>
      </c>
    </row>
    <row r="389" spans="1:68">
      <c r="A389">
        <v>388</v>
      </c>
      <c r="B389" t="s">
        <v>241</v>
      </c>
      <c r="C389" s="1">
        <v>4752065818</v>
      </c>
      <c r="D389" t="s">
        <v>280</v>
      </c>
      <c r="E389">
        <f>COUNTIF($C$1:C389,C389)</f>
        <v>2</v>
      </c>
      <c r="F389" t="str">
        <f t="shared" si="115"/>
        <v>47520658182</v>
      </c>
      <c r="G389">
        <f t="shared" si="111"/>
        <v>0</v>
      </c>
      <c r="H389">
        <f t="shared" si="112"/>
        <v>0</v>
      </c>
      <c r="I389" s="12"/>
      <c r="J389" s="12"/>
      <c r="K389" s="12"/>
      <c r="L389" s="12"/>
      <c r="M389" s="12"/>
      <c r="AV389">
        <v>388</v>
      </c>
      <c r="AW389" t="s">
        <v>241</v>
      </c>
      <c r="BM389">
        <v>388</v>
      </c>
      <c r="BN389" t="s">
        <v>241</v>
      </c>
      <c r="BO389" t="str">
        <f t="shared" si="116"/>
        <v>Dudu cat</v>
      </c>
      <c r="BP389" t="b">
        <f t="shared" si="114"/>
        <v>1</v>
      </c>
    </row>
    <row r="390" spans="1:68">
      <c r="A390">
        <v>389</v>
      </c>
      <c r="E390">
        <f>COUNTIF($C$1:C390,C390)</f>
        <v>0</v>
      </c>
      <c r="F390" t="str">
        <f t="shared" si="115"/>
        <v>0</v>
      </c>
      <c r="G390">
        <f t="shared" si="111"/>
        <v>0</v>
      </c>
      <c r="H390">
        <f t="shared" si="112"/>
        <v>0</v>
      </c>
      <c r="I390"/>
      <c r="AV390">
        <v>389</v>
      </c>
      <c r="BM390">
        <v>389</v>
      </c>
      <c r="BO390">
        <f t="shared" si="116"/>
        <v>0</v>
      </c>
      <c r="BP390" t="b">
        <f t="shared" si="114"/>
        <v>1</v>
      </c>
    </row>
    <row r="391" spans="1:68">
      <c r="A391">
        <v>390</v>
      </c>
      <c r="B391" t="s">
        <v>242</v>
      </c>
      <c r="C391" s="1">
        <v>4752337695</v>
      </c>
      <c r="D391" t="s">
        <v>280</v>
      </c>
      <c r="E391">
        <f>COUNTIF($C$1:C391,C391)</f>
        <v>2</v>
      </c>
      <c r="F391" t="str">
        <f t="shared" si="115"/>
        <v>47523376952</v>
      </c>
      <c r="G391">
        <f t="shared" si="111"/>
        <v>0</v>
      </c>
      <c r="H391">
        <f t="shared" si="112"/>
        <v>0</v>
      </c>
      <c r="I391" s="12"/>
      <c r="J391" s="12"/>
      <c r="K391" s="12"/>
      <c r="L391" s="12"/>
      <c r="M391" s="12"/>
      <c r="AV391">
        <v>390</v>
      </c>
      <c r="AW391" t="s">
        <v>242</v>
      </c>
      <c r="BM391">
        <v>390</v>
      </c>
      <c r="BN391" t="s">
        <v>242</v>
      </c>
      <c r="BO391" t="str">
        <f t="shared" si="116"/>
        <v>GV Gabriel</v>
      </c>
      <c r="BP391" t="b">
        <f t="shared" si="114"/>
        <v>1</v>
      </c>
    </row>
    <row r="392" spans="1:68">
      <c r="A392">
        <v>391</v>
      </c>
      <c r="B392" t="s">
        <v>340</v>
      </c>
      <c r="C392" s="1">
        <v>9144695805</v>
      </c>
      <c r="D392" t="s">
        <v>280</v>
      </c>
      <c r="E392">
        <f>COUNTIF($C$1:C392,C392)</f>
        <v>3</v>
      </c>
      <c r="F392" t="str">
        <f t="shared" si="115"/>
        <v>91446958053</v>
      </c>
      <c r="G392">
        <f t="shared" si="111"/>
        <v>1</v>
      </c>
      <c r="H392">
        <f t="shared" si="112"/>
        <v>0</v>
      </c>
      <c r="I392"/>
      <c r="AV392">
        <v>391</v>
      </c>
      <c r="AW392" t="s">
        <v>188</v>
      </c>
      <c r="BM392">
        <v>391</v>
      </c>
      <c r="BN392" t="s">
        <v>188</v>
      </c>
      <c r="BO392" t="str">
        <f t="shared" si="116"/>
        <v>JOAO BATISTA pg</v>
      </c>
      <c r="BP392" t="b">
        <v>1</v>
      </c>
    </row>
    <row r="393" spans="1:68">
      <c r="A393">
        <v>392</v>
      </c>
      <c r="E393">
        <f>COUNTIF($C$1:C393,C393)</f>
        <v>0</v>
      </c>
      <c r="F393" t="str">
        <f t="shared" si="115"/>
        <v>0</v>
      </c>
      <c r="G393">
        <f t="shared" si="111"/>
        <v>0</v>
      </c>
      <c r="H393">
        <f t="shared" si="112"/>
        <v>0</v>
      </c>
      <c r="I393"/>
      <c r="AV393">
        <v>392</v>
      </c>
      <c r="BM393">
        <v>392</v>
      </c>
      <c r="BO393">
        <f t="shared" si="116"/>
        <v>0</v>
      </c>
      <c r="BP393" t="b">
        <f t="shared" ref="BP393:BP423" si="117">BO393=BN393</f>
        <v>1</v>
      </c>
    </row>
    <row r="394" spans="1:68">
      <c r="A394">
        <v>393</v>
      </c>
      <c r="B394" t="s">
        <v>387</v>
      </c>
      <c r="C394" s="1">
        <v>2039819598</v>
      </c>
      <c r="D394" t="s">
        <v>280</v>
      </c>
      <c r="E394">
        <f>COUNTIF($C$1:C394,C394)</f>
        <v>3</v>
      </c>
      <c r="F394" t="str">
        <f t="shared" si="115"/>
        <v>20398195983</v>
      </c>
      <c r="G394">
        <f t="shared" si="111"/>
        <v>0</v>
      </c>
      <c r="H394">
        <f t="shared" si="112"/>
        <v>1</v>
      </c>
      <c r="I394"/>
      <c r="AV394">
        <v>393</v>
      </c>
      <c r="BM394">
        <v>393</v>
      </c>
      <c r="BN394" t="s">
        <v>327</v>
      </c>
      <c r="BO394" t="str">
        <f t="shared" si="116"/>
        <v>Rodrigo / Polly (f)</v>
      </c>
      <c r="BP394" t="b">
        <f t="shared" si="117"/>
        <v>0</v>
      </c>
    </row>
    <row r="395" spans="1:68">
      <c r="A395">
        <v>394</v>
      </c>
      <c r="B395" t="s">
        <v>235</v>
      </c>
      <c r="C395" s="1">
        <v>9144690686</v>
      </c>
      <c r="D395" t="s">
        <v>280</v>
      </c>
      <c r="E395">
        <f>COUNTIF($C$1:C395,C395)</f>
        <v>3</v>
      </c>
      <c r="F395" t="str">
        <f t="shared" si="115"/>
        <v>91446906863</v>
      </c>
      <c r="G395">
        <f t="shared" si="111"/>
        <v>0</v>
      </c>
      <c r="H395">
        <f t="shared" si="112"/>
        <v>0</v>
      </c>
      <c r="I395" s="12"/>
      <c r="J395" s="12"/>
      <c r="K395" s="12"/>
      <c r="L395" s="12"/>
      <c r="M395" s="12"/>
      <c r="AV395">
        <v>394</v>
      </c>
      <c r="AW395" t="s">
        <v>235</v>
      </c>
      <c r="BM395">
        <v>394</v>
      </c>
      <c r="BN395" t="s">
        <v>235</v>
      </c>
      <c r="BO395" t="str">
        <f t="shared" si="116"/>
        <v>ALEX BARBOSA</v>
      </c>
      <c r="BP395" t="b">
        <f t="shared" si="117"/>
        <v>1</v>
      </c>
    </row>
    <row r="396" spans="1:68">
      <c r="A396">
        <v>395</v>
      </c>
      <c r="B396" t="s">
        <v>243</v>
      </c>
      <c r="C396" s="1">
        <v>2035268465</v>
      </c>
      <c r="D396" t="s">
        <v>280</v>
      </c>
      <c r="E396">
        <f>COUNTIF($C$1:C396,C396)</f>
        <v>1</v>
      </c>
      <c r="F396" t="str">
        <f t="shared" si="115"/>
        <v>20352684651</v>
      </c>
      <c r="G396">
        <f t="shared" si="111"/>
        <v>0</v>
      </c>
      <c r="H396">
        <f t="shared" si="112"/>
        <v>0</v>
      </c>
      <c r="I396"/>
      <c r="AV396">
        <v>395</v>
      </c>
      <c r="AW396" t="s">
        <v>243</v>
      </c>
      <c r="BM396">
        <v>395</v>
      </c>
      <c r="BN396" t="s">
        <v>243</v>
      </c>
      <c r="BO396" t="str">
        <f t="shared" si="116"/>
        <v>THIAGO NUNES</v>
      </c>
      <c r="BP396" t="b">
        <f t="shared" si="117"/>
        <v>1</v>
      </c>
    </row>
    <row r="397" spans="1:68">
      <c r="A397">
        <v>396</v>
      </c>
      <c r="B397" t="s">
        <v>195</v>
      </c>
      <c r="C397" s="1">
        <v>9145620301</v>
      </c>
      <c r="D397" t="s">
        <v>280</v>
      </c>
      <c r="E397">
        <f>COUNTIF($C$1:C397,C397)</f>
        <v>5</v>
      </c>
      <c r="F397" t="str">
        <f t="shared" si="115"/>
        <v>91456203015</v>
      </c>
      <c r="G397">
        <f t="shared" si="111"/>
        <v>0</v>
      </c>
      <c r="H397">
        <f t="shared" si="112"/>
        <v>0</v>
      </c>
      <c r="I397"/>
      <c r="AV397">
        <v>396</v>
      </c>
      <c r="AW397" t="s">
        <v>195</v>
      </c>
      <c r="BM397">
        <v>396</v>
      </c>
      <c r="BN397" t="s">
        <v>195</v>
      </c>
      <c r="BO397" t="str">
        <f t="shared" si="116"/>
        <v>JUNIOR GORDO</v>
      </c>
      <c r="BP397" t="b">
        <f t="shared" si="117"/>
        <v>1</v>
      </c>
    </row>
    <row r="398" spans="1:68">
      <c r="A398">
        <v>397</v>
      </c>
      <c r="B398" t="s">
        <v>74</v>
      </c>
      <c r="D398" t="s">
        <v>281</v>
      </c>
      <c r="E398">
        <f>COUNTIF($C$1:C398,C398)</f>
        <v>0</v>
      </c>
      <c r="F398" t="str">
        <f t="shared" si="115"/>
        <v>0</v>
      </c>
      <c r="G398">
        <f t="shared" si="111"/>
        <v>0</v>
      </c>
      <c r="H398">
        <f t="shared" si="112"/>
        <v>0</v>
      </c>
      <c r="I398" s="12"/>
      <c r="J398" s="12"/>
      <c r="K398" s="12"/>
      <c r="L398" s="12"/>
      <c r="M398" s="12"/>
      <c r="AV398">
        <v>397</v>
      </c>
      <c r="AW398" t="s">
        <v>74</v>
      </c>
      <c r="BM398">
        <v>397</v>
      </c>
      <c r="BN398" t="s">
        <v>74</v>
      </c>
      <c r="BO398" t="str">
        <f t="shared" si="116"/>
        <v>GUILHERME NOGUEIRA</v>
      </c>
      <c r="BP398" t="b">
        <f t="shared" si="117"/>
        <v>1</v>
      </c>
    </row>
    <row r="399" spans="1:68">
      <c r="A399">
        <v>398</v>
      </c>
      <c r="E399">
        <f>COUNTIF($C$1:C399,C399)</f>
        <v>0</v>
      </c>
      <c r="F399" t="str">
        <f t="shared" si="115"/>
        <v>0</v>
      </c>
      <c r="G399">
        <f t="shared" si="111"/>
        <v>0</v>
      </c>
      <c r="H399">
        <f t="shared" si="112"/>
        <v>0</v>
      </c>
      <c r="I399"/>
      <c r="AV399">
        <v>398</v>
      </c>
      <c r="BM399">
        <v>398</v>
      </c>
      <c r="BO399">
        <f t="shared" si="116"/>
        <v>0</v>
      </c>
      <c r="BP399" t="b">
        <f t="shared" si="117"/>
        <v>1</v>
      </c>
    </row>
    <row r="400" spans="1:68">
      <c r="A400">
        <v>399</v>
      </c>
      <c r="B400" t="s">
        <v>244</v>
      </c>
      <c r="C400" s="1">
        <v>2035127679</v>
      </c>
      <c r="D400" t="s">
        <v>280</v>
      </c>
      <c r="E400">
        <f>COUNTIF($C$1:C400,C400)</f>
        <v>1</v>
      </c>
      <c r="F400" t="str">
        <f t="shared" si="115"/>
        <v>20351276791</v>
      </c>
      <c r="G400">
        <f t="shared" si="111"/>
        <v>0</v>
      </c>
      <c r="H400">
        <f t="shared" si="112"/>
        <v>0</v>
      </c>
      <c r="I400"/>
      <c r="AV400">
        <v>399</v>
      </c>
      <c r="AW400" t="s">
        <v>244</v>
      </c>
      <c r="BM400">
        <v>399</v>
      </c>
      <c r="BN400" t="s">
        <v>244</v>
      </c>
      <c r="BO400" t="str">
        <f t="shared" si="116"/>
        <v>KAIO</v>
      </c>
      <c r="BP400" t="b">
        <f t="shared" si="117"/>
        <v>1</v>
      </c>
    </row>
    <row r="401" spans="1:68">
      <c r="A401">
        <v>400</v>
      </c>
      <c r="B401" t="s">
        <v>156</v>
      </c>
      <c r="C401" s="1">
        <v>9142270568</v>
      </c>
      <c r="D401" t="s">
        <v>280</v>
      </c>
      <c r="E401">
        <f>COUNTIF($C$1:C401,C401)</f>
        <v>5</v>
      </c>
      <c r="F401" t="str">
        <f t="shared" si="115"/>
        <v>91422705685</v>
      </c>
      <c r="G401">
        <f t="shared" si="111"/>
        <v>0</v>
      </c>
      <c r="H401">
        <f t="shared" si="112"/>
        <v>0</v>
      </c>
      <c r="I401" s="12"/>
      <c r="J401" s="12"/>
      <c r="K401" s="12"/>
      <c r="L401" s="12"/>
      <c r="M401" s="12"/>
      <c r="AV401">
        <v>400</v>
      </c>
      <c r="AW401" t="s">
        <v>156</v>
      </c>
      <c r="BM401">
        <v>400</v>
      </c>
      <c r="BN401" t="s">
        <v>156</v>
      </c>
      <c r="BO401" t="str">
        <f t="shared" si="116"/>
        <v>DANILEX</v>
      </c>
      <c r="BP401" t="b">
        <f t="shared" si="117"/>
        <v>1</v>
      </c>
    </row>
    <row r="402" spans="1:68">
      <c r="A402">
        <v>401</v>
      </c>
      <c r="B402" t="s">
        <v>245</v>
      </c>
      <c r="C402" s="1">
        <v>2036838414</v>
      </c>
      <c r="D402" t="s">
        <v>280</v>
      </c>
      <c r="E402">
        <f>COUNTIF($C$1:C402,C402)</f>
        <v>1</v>
      </c>
      <c r="F402" t="str">
        <f t="shared" si="115"/>
        <v>20368384141</v>
      </c>
      <c r="G402">
        <f t="shared" si="111"/>
        <v>0</v>
      </c>
      <c r="H402">
        <f t="shared" si="112"/>
        <v>0</v>
      </c>
      <c r="I402"/>
      <c r="AV402">
        <v>401</v>
      </c>
      <c r="AW402" t="s">
        <v>245</v>
      </c>
      <c r="BM402">
        <v>401</v>
      </c>
      <c r="BN402" t="s">
        <v>245</v>
      </c>
      <c r="BO402" t="str">
        <f t="shared" si="116"/>
        <v>Samuel</v>
      </c>
      <c r="BP402" t="b">
        <f t="shared" si="117"/>
        <v>1</v>
      </c>
    </row>
    <row r="403" spans="1:68">
      <c r="A403">
        <v>402</v>
      </c>
      <c r="E403">
        <f>COUNTIF($C$1:C403,C403)</f>
        <v>0</v>
      </c>
      <c r="F403" t="str">
        <f t="shared" si="115"/>
        <v>0</v>
      </c>
      <c r="G403">
        <f t="shared" si="111"/>
        <v>0</v>
      </c>
      <c r="H403">
        <f t="shared" si="112"/>
        <v>0</v>
      </c>
      <c r="I403"/>
      <c r="AV403">
        <v>402</v>
      </c>
      <c r="BM403">
        <v>402</v>
      </c>
      <c r="BO403">
        <f t="shared" si="116"/>
        <v>0</v>
      </c>
      <c r="BP403" t="b">
        <f t="shared" si="117"/>
        <v>1</v>
      </c>
    </row>
    <row r="404" spans="1:68">
      <c r="A404">
        <v>403</v>
      </c>
      <c r="B404" t="s">
        <v>246</v>
      </c>
      <c r="C404" s="1">
        <v>7327684454</v>
      </c>
      <c r="D404" t="s">
        <v>280</v>
      </c>
      <c r="E404">
        <f>COUNTIF($C$1:C404,C404)</f>
        <v>1</v>
      </c>
      <c r="F404" t="str">
        <f t="shared" si="115"/>
        <v>73276844541</v>
      </c>
      <c r="G404">
        <f t="shared" si="111"/>
        <v>0</v>
      </c>
      <c r="H404">
        <f t="shared" si="112"/>
        <v>0</v>
      </c>
      <c r="I404"/>
      <c r="AV404">
        <v>403</v>
      </c>
      <c r="AW404" t="s">
        <v>246</v>
      </c>
      <c r="BM404">
        <v>403</v>
      </c>
      <c r="BN404" t="s">
        <v>246</v>
      </c>
      <c r="BO404" t="str">
        <f t="shared" si="116"/>
        <v>SOFIA</v>
      </c>
      <c r="BP404" t="b">
        <f t="shared" si="117"/>
        <v>1</v>
      </c>
    </row>
    <row r="405" spans="1:68">
      <c r="A405">
        <v>404</v>
      </c>
      <c r="E405">
        <f>COUNTIF($C$1:C405,C405)</f>
        <v>0</v>
      </c>
      <c r="F405" t="str">
        <f t="shared" si="115"/>
        <v>0</v>
      </c>
      <c r="G405">
        <f t="shared" si="111"/>
        <v>0</v>
      </c>
      <c r="H405">
        <f t="shared" si="112"/>
        <v>0</v>
      </c>
      <c r="I405"/>
      <c r="AV405">
        <v>404</v>
      </c>
      <c r="BM405">
        <v>404</v>
      </c>
      <c r="BO405">
        <f t="shared" si="116"/>
        <v>0</v>
      </c>
      <c r="BP405" t="b">
        <f t="shared" si="117"/>
        <v>1</v>
      </c>
    </row>
    <row r="406" spans="1:68">
      <c r="A406">
        <v>405</v>
      </c>
      <c r="B406" t="s">
        <v>241</v>
      </c>
      <c r="C406" s="1">
        <v>4752065818</v>
      </c>
      <c r="D406" t="s">
        <v>280</v>
      </c>
      <c r="E406">
        <f>COUNTIF($C$1:C406,C406)</f>
        <v>3</v>
      </c>
      <c r="F406" t="str">
        <f t="shared" si="115"/>
        <v>47520658183</v>
      </c>
      <c r="G406">
        <f t="shared" si="111"/>
        <v>0</v>
      </c>
      <c r="H406">
        <f t="shared" si="112"/>
        <v>0</v>
      </c>
      <c r="I406" s="12"/>
      <c r="J406" s="12"/>
      <c r="K406" s="12"/>
      <c r="L406" s="12"/>
      <c r="M406" s="12"/>
      <c r="AV406">
        <v>405</v>
      </c>
      <c r="AW406" t="s">
        <v>241</v>
      </c>
      <c r="BM406">
        <v>405</v>
      </c>
      <c r="BN406" t="s">
        <v>241</v>
      </c>
      <c r="BO406" t="str">
        <f t="shared" si="116"/>
        <v>Dudu cat</v>
      </c>
      <c r="BP406" t="b">
        <f t="shared" si="117"/>
        <v>1</v>
      </c>
    </row>
    <row r="407" spans="1:68">
      <c r="A407">
        <v>406</v>
      </c>
      <c r="B407" t="s">
        <v>176</v>
      </c>
      <c r="C407" s="1">
        <v>9147602272</v>
      </c>
      <c r="D407" t="s">
        <v>280</v>
      </c>
      <c r="E407">
        <f>COUNTIF($C$1:C407,C407)</f>
        <v>7</v>
      </c>
      <c r="F407" t="str">
        <f t="shared" si="115"/>
        <v>91476022727</v>
      </c>
      <c r="G407">
        <f t="shared" si="111"/>
        <v>0</v>
      </c>
      <c r="H407">
        <f t="shared" si="112"/>
        <v>0</v>
      </c>
      <c r="I407"/>
      <c r="AV407">
        <v>406</v>
      </c>
      <c r="AW407" t="s">
        <v>176</v>
      </c>
      <c r="BM407">
        <v>406</v>
      </c>
      <c r="BN407" t="s">
        <v>176</v>
      </c>
      <c r="BO407" t="str">
        <f t="shared" si="116"/>
        <v>Rafael Melo (Dalton)</v>
      </c>
      <c r="BP407" t="b">
        <f t="shared" si="117"/>
        <v>1</v>
      </c>
    </row>
    <row r="408" spans="1:68">
      <c r="A408">
        <v>407</v>
      </c>
      <c r="B408" t="s">
        <v>247</v>
      </c>
      <c r="C408" s="1">
        <v>8453066909</v>
      </c>
      <c r="D408" t="s">
        <v>280</v>
      </c>
      <c r="E408">
        <f>COUNTIF($C$1:C408,C408)</f>
        <v>1</v>
      </c>
      <c r="F408" t="str">
        <f t="shared" si="115"/>
        <v>84530669091</v>
      </c>
      <c r="G408">
        <f t="shared" si="111"/>
        <v>0</v>
      </c>
      <c r="H408">
        <f t="shared" si="112"/>
        <v>0</v>
      </c>
      <c r="I408"/>
      <c r="AV408">
        <v>407</v>
      </c>
      <c r="AW408" t="s">
        <v>247</v>
      </c>
      <c r="BM408">
        <v>407</v>
      </c>
      <c r="BN408" t="s">
        <v>247</v>
      </c>
      <c r="BO408" t="str">
        <f t="shared" si="116"/>
        <v>Marcelo Simão</v>
      </c>
      <c r="BP408" t="b">
        <f t="shared" si="117"/>
        <v>1</v>
      </c>
    </row>
    <row r="409" spans="1:68">
      <c r="A409">
        <v>408</v>
      </c>
      <c r="E409">
        <f>COUNTIF($C$1:C409,C409)</f>
        <v>0</v>
      </c>
      <c r="F409" t="str">
        <f t="shared" si="115"/>
        <v>0</v>
      </c>
      <c r="G409">
        <f t="shared" si="111"/>
        <v>0</v>
      </c>
      <c r="H409">
        <f t="shared" si="112"/>
        <v>0</v>
      </c>
      <c r="I409"/>
      <c r="AV409">
        <v>408</v>
      </c>
      <c r="BM409">
        <v>408</v>
      </c>
      <c r="BO409">
        <f t="shared" si="116"/>
        <v>0</v>
      </c>
      <c r="BP409" t="b">
        <f t="shared" si="117"/>
        <v>1</v>
      </c>
    </row>
    <row r="410" spans="1:68">
      <c r="A410">
        <v>409</v>
      </c>
      <c r="E410">
        <f>COUNTIF($C$1:C410,C410)</f>
        <v>0</v>
      </c>
      <c r="F410" t="str">
        <f t="shared" si="115"/>
        <v>0</v>
      </c>
      <c r="G410">
        <f t="shared" si="111"/>
        <v>0</v>
      </c>
      <c r="H410">
        <f t="shared" si="112"/>
        <v>0</v>
      </c>
      <c r="I410"/>
      <c r="AV410">
        <v>409</v>
      </c>
      <c r="BM410">
        <v>409</v>
      </c>
      <c r="BO410">
        <f t="shared" si="116"/>
        <v>0</v>
      </c>
      <c r="BP410" t="b">
        <f t="shared" si="117"/>
        <v>1</v>
      </c>
    </row>
    <row r="411" spans="1:68">
      <c r="A411">
        <v>410</v>
      </c>
      <c r="B411" t="s">
        <v>351</v>
      </c>
      <c r="C411" s="1">
        <v>5515879636</v>
      </c>
      <c r="D411" t="s">
        <v>280</v>
      </c>
      <c r="E411">
        <f>COUNTIF($C$1:C411,C411)</f>
        <v>2</v>
      </c>
      <c r="F411" t="str">
        <f t="shared" si="115"/>
        <v>55158796362</v>
      </c>
      <c r="G411">
        <f t="shared" si="111"/>
        <v>1</v>
      </c>
      <c r="H411">
        <f t="shared" si="112"/>
        <v>0</v>
      </c>
      <c r="I411"/>
      <c r="AV411">
        <v>410</v>
      </c>
      <c r="AW411" t="s">
        <v>248</v>
      </c>
      <c r="BM411">
        <v>410</v>
      </c>
      <c r="BN411" t="s">
        <v>248</v>
      </c>
      <c r="BO411" t="str">
        <f t="shared" si="116"/>
        <v>RENZO /Eduardo pg</v>
      </c>
      <c r="BP411" t="b">
        <f t="shared" si="117"/>
        <v>0</v>
      </c>
    </row>
    <row r="412" spans="1:68">
      <c r="A412">
        <v>411</v>
      </c>
      <c r="B412" t="s">
        <v>240</v>
      </c>
      <c r="C412" s="1">
        <v>9148302799</v>
      </c>
      <c r="D412" t="s">
        <v>280</v>
      </c>
      <c r="E412">
        <f>COUNTIF($C$1:C412,C412)</f>
        <v>3</v>
      </c>
      <c r="F412" t="str">
        <f t="shared" si="115"/>
        <v>91483027993</v>
      </c>
      <c r="G412">
        <f t="shared" si="111"/>
        <v>1</v>
      </c>
      <c r="H412">
        <f t="shared" si="112"/>
        <v>0</v>
      </c>
      <c r="I412"/>
      <c r="AV412">
        <v>411</v>
      </c>
      <c r="AW412" t="s">
        <v>240</v>
      </c>
      <c r="BM412">
        <v>411</v>
      </c>
      <c r="BN412" t="s">
        <v>240</v>
      </c>
      <c r="BO412" t="str">
        <f t="shared" si="116"/>
        <v>Ronan (Empire home solution)pg</v>
      </c>
      <c r="BP412" t="b">
        <f t="shared" si="117"/>
        <v>1</v>
      </c>
    </row>
    <row r="413" spans="1:68">
      <c r="A413">
        <v>412</v>
      </c>
      <c r="E413">
        <f>COUNTIF($C$1:C413,C413)</f>
        <v>0</v>
      </c>
      <c r="F413" t="str">
        <f t="shared" si="115"/>
        <v>0</v>
      </c>
      <c r="G413">
        <f t="shared" si="111"/>
        <v>0</v>
      </c>
      <c r="H413">
        <f t="shared" si="112"/>
        <v>0</v>
      </c>
      <c r="I413"/>
      <c r="AV413">
        <v>412</v>
      </c>
      <c r="BM413">
        <v>412</v>
      </c>
      <c r="BO413">
        <f t="shared" si="116"/>
        <v>0</v>
      </c>
      <c r="BP413" t="b">
        <f t="shared" si="117"/>
        <v>1</v>
      </c>
    </row>
    <row r="414" spans="1:68">
      <c r="A414">
        <v>413</v>
      </c>
      <c r="B414" t="s">
        <v>249</v>
      </c>
      <c r="C414" s="1">
        <v>2036908251</v>
      </c>
      <c r="D414" t="s">
        <v>280</v>
      </c>
      <c r="E414">
        <f>COUNTIF($C$1:C414,C414)</f>
        <v>2</v>
      </c>
      <c r="F414" t="str">
        <f t="shared" si="115"/>
        <v>20369082512</v>
      </c>
      <c r="G414">
        <f t="shared" si="111"/>
        <v>0</v>
      </c>
      <c r="H414">
        <f t="shared" si="112"/>
        <v>0</v>
      </c>
      <c r="I414"/>
      <c r="AV414">
        <v>413</v>
      </c>
      <c r="AW414" t="s">
        <v>249</v>
      </c>
      <c r="BM414">
        <v>413</v>
      </c>
      <c r="BN414" t="s">
        <v>249</v>
      </c>
      <c r="BO414" t="str">
        <f t="shared" si="116"/>
        <v>SAMANTA ROSA /gallardo</v>
      </c>
      <c r="BP414" t="b">
        <f t="shared" si="117"/>
        <v>1</v>
      </c>
    </row>
    <row r="415" spans="1:68">
      <c r="A415">
        <v>414</v>
      </c>
      <c r="B415" t="s">
        <v>368</v>
      </c>
      <c r="C415" s="1">
        <v>2036825960</v>
      </c>
      <c r="D415" t="s">
        <v>280</v>
      </c>
      <c r="E415">
        <f>COUNTIF($C$1:C415,C415)</f>
        <v>1</v>
      </c>
      <c r="F415" t="str">
        <f t="shared" si="115"/>
        <v>20368259601</v>
      </c>
      <c r="G415">
        <f t="shared" si="111"/>
        <v>1</v>
      </c>
      <c r="H415">
        <f t="shared" si="112"/>
        <v>0</v>
      </c>
      <c r="I415" s="12"/>
      <c r="J415" s="12"/>
      <c r="K415" s="12"/>
      <c r="L415" s="12"/>
      <c r="M415" s="12"/>
      <c r="AV415">
        <v>414</v>
      </c>
      <c r="AW415" t="s">
        <v>250</v>
      </c>
      <c r="BM415">
        <v>414</v>
      </c>
      <c r="BN415" t="s">
        <v>250</v>
      </c>
      <c r="BO415" t="str">
        <f t="shared" si="116"/>
        <v>CESINHA pg</v>
      </c>
      <c r="BP415" t="b">
        <f t="shared" si="117"/>
        <v>0</v>
      </c>
    </row>
    <row r="416" spans="1:68">
      <c r="A416">
        <v>415</v>
      </c>
      <c r="E416">
        <f>COUNTIF($C$1:C416,C416)</f>
        <v>0</v>
      </c>
      <c r="F416" t="str">
        <f t="shared" si="115"/>
        <v>0</v>
      </c>
      <c r="G416">
        <f t="shared" si="111"/>
        <v>0</v>
      </c>
      <c r="H416">
        <f t="shared" si="112"/>
        <v>0</v>
      </c>
      <c r="I416"/>
      <c r="AV416">
        <v>415</v>
      </c>
      <c r="BM416">
        <v>415</v>
      </c>
      <c r="BO416">
        <f t="shared" si="116"/>
        <v>0</v>
      </c>
      <c r="BP416" t="b">
        <f t="shared" si="117"/>
        <v>1</v>
      </c>
    </row>
    <row r="417" spans="1:68">
      <c r="A417">
        <v>416</v>
      </c>
      <c r="B417" t="s">
        <v>211</v>
      </c>
      <c r="C417" s="1">
        <v>9143190338</v>
      </c>
      <c r="D417" t="s">
        <v>280</v>
      </c>
      <c r="E417">
        <f>COUNTIF($C$1:C417,C417)</f>
        <v>3</v>
      </c>
      <c r="F417" t="str">
        <f t="shared" si="115"/>
        <v>91431903383</v>
      </c>
      <c r="G417">
        <f t="shared" si="111"/>
        <v>0</v>
      </c>
      <c r="H417">
        <f t="shared" si="112"/>
        <v>0</v>
      </c>
      <c r="I417"/>
      <c r="AV417">
        <v>416</v>
      </c>
      <c r="AW417" t="s">
        <v>211</v>
      </c>
      <c r="BM417">
        <v>416</v>
      </c>
      <c r="BN417" t="s">
        <v>211</v>
      </c>
      <c r="BO417" t="str">
        <f t="shared" si="116"/>
        <v>Thiago / Jon</v>
      </c>
      <c r="BP417" t="b">
        <f t="shared" si="117"/>
        <v>1</v>
      </c>
    </row>
    <row r="418" spans="1:68">
      <c r="A418">
        <v>417</v>
      </c>
      <c r="B418" t="s">
        <v>251</v>
      </c>
      <c r="C418" s="1">
        <v>5511961917900</v>
      </c>
      <c r="D418" t="s">
        <v>280</v>
      </c>
      <c r="E418">
        <f>COUNTIF($C$1:C418,C418)</f>
        <v>4</v>
      </c>
      <c r="F418" t="str">
        <f t="shared" si="115"/>
        <v>55119619179004</v>
      </c>
      <c r="G418">
        <f t="shared" si="111"/>
        <v>0</v>
      </c>
      <c r="H418">
        <f t="shared" si="112"/>
        <v>0</v>
      </c>
      <c r="I418"/>
      <c r="AV418">
        <v>417</v>
      </c>
      <c r="AW418" t="s">
        <v>251</v>
      </c>
      <c r="BM418">
        <v>417</v>
      </c>
      <c r="BN418" t="s">
        <v>251</v>
      </c>
      <c r="BO418" t="str">
        <f t="shared" si="116"/>
        <v>Karla panela</v>
      </c>
      <c r="BP418" t="b">
        <f t="shared" si="117"/>
        <v>1</v>
      </c>
    </row>
    <row r="419" spans="1:68">
      <c r="A419">
        <v>418</v>
      </c>
      <c r="E419">
        <f>COUNTIF($C$1:C419,C419)</f>
        <v>0</v>
      </c>
      <c r="F419" t="str">
        <f t="shared" si="115"/>
        <v>0</v>
      </c>
      <c r="G419">
        <f t="shared" si="111"/>
        <v>0</v>
      </c>
      <c r="H419">
        <f t="shared" si="112"/>
        <v>0</v>
      </c>
      <c r="I419"/>
      <c r="AV419">
        <v>418</v>
      </c>
      <c r="BM419">
        <v>418</v>
      </c>
      <c r="BO419">
        <f t="shared" si="116"/>
        <v>0</v>
      </c>
      <c r="BP419" t="b">
        <f t="shared" si="117"/>
        <v>1</v>
      </c>
    </row>
    <row r="420" spans="1:68">
      <c r="A420">
        <v>419</v>
      </c>
      <c r="E420">
        <f>COUNTIF($C$1:C420,C420)</f>
        <v>0</v>
      </c>
      <c r="F420" t="str">
        <f t="shared" si="115"/>
        <v>0</v>
      </c>
      <c r="G420">
        <f t="shared" si="111"/>
        <v>0</v>
      </c>
      <c r="H420">
        <f t="shared" si="112"/>
        <v>0</v>
      </c>
      <c r="I420"/>
      <c r="AV420">
        <v>419</v>
      </c>
      <c r="BM420">
        <v>419</v>
      </c>
      <c r="BO420">
        <f t="shared" si="116"/>
        <v>0</v>
      </c>
      <c r="BP420" t="b">
        <f t="shared" si="117"/>
        <v>1</v>
      </c>
    </row>
    <row r="421" spans="1:68">
      <c r="A421">
        <v>420</v>
      </c>
      <c r="B421" t="s">
        <v>135</v>
      </c>
      <c r="C421" s="1">
        <v>2035406751</v>
      </c>
      <c r="D421" t="s">
        <v>280</v>
      </c>
      <c r="E421">
        <f>COUNTIF($C$1:C421,C421)</f>
        <v>3</v>
      </c>
      <c r="F421" t="str">
        <f t="shared" si="115"/>
        <v>20354067513</v>
      </c>
      <c r="G421">
        <f t="shared" si="111"/>
        <v>1</v>
      </c>
      <c r="H421">
        <f t="shared" si="112"/>
        <v>0</v>
      </c>
      <c r="I421" s="12"/>
      <c r="J421" s="12"/>
      <c r="K421" s="12"/>
      <c r="L421" s="12"/>
      <c r="M421" s="12"/>
      <c r="AV421">
        <v>420</v>
      </c>
      <c r="AW421" t="s">
        <v>135</v>
      </c>
      <c r="BM421">
        <v>420</v>
      </c>
      <c r="BN421" t="s">
        <v>135</v>
      </c>
      <c r="BO421" t="str">
        <f t="shared" si="116"/>
        <v>Bola de fogo pg</v>
      </c>
      <c r="BP421" t="b">
        <f t="shared" si="117"/>
        <v>1</v>
      </c>
    </row>
    <row r="422" spans="1:68">
      <c r="A422">
        <v>421</v>
      </c>
      <c r="B422" t="s">
        <v>101</v>
      </c>
      <c r="C422" s="1">
        <v>4752368737</v>
      </c>
      <c r="D422" t="s">
        <v>280</v>
      </c>
      <c r="E422">
        <f>COUNTIF($C$1:C422,C422)</f>
        <v>3</v>
      </c>
      <c r="F422" t="str">
        <f t="shared" si="115"/>
        <v>47523687373</v>
      </c>
      <c r="G422">
        <f t="shared" si="111"/>
        <v>0</v>
      </c>
      <c r="H422">
        <f t="shared" si="112"/>
        <v>0</v>
      </c>
      <c r="I422" s="12"/>
      <c r="J422" s="12"/>
      <c r="K422" s="12"/>
      <c r="L422" s="12"/>
      <c r="M422" s="12"/>
      <c r="AV422">
        <v>421</v>
      </c>
      <c r="AW422" t="s">
        <v>101</v>
      </c>
      <c r="BM422">
        <v>421</v>
      </c>
      <c r="BN422" t="s">
        <v>101</v>
      </c>
      <c r="BO422" t="str">
        <f t="shared" si="116"/>
        <v>Felipe Pimentel</v>
      </c>
      <c r="BP422" t="b">
        <f t="shared" si="117"/>
        <v>1</v>
      </c>
    </row>
    <row r="423" spans="1:68">
      <c r="A423">
        <v>422</v>
      </c>
      <c r="B423" t="s">
        <v>252</v>
      </c>
      <c r="C423" s="1">
        <v>9145654492</v>
      </c>
      <c r="D423" t="s">
        <v>280</v>
      </c>
      <c r="E423">
        <f>COUNTIF($C$1:C423,C423)</f>
        <v>1</v>
      </c>
      <c r="F423" t="str">
        <f t="shared" si="115"/>
        <v>91456544921</v>
      </c>
      <c r="G423">
        <f t="shared" si="111"/>
        <v>0</v>
      </c>
      <c r="H423">
        <f t="shared" si="112"/>
        <v>0</v>
      </c>
      <c r="I423"/>
      <c r="AV423">
        <v>422</v>
      </c>
      <c r="AW423" t="s">
        <v>252</v>
      </c>
      <c r="BM423">
        <v>422</v>
      </c>
      <c r="BN423" t="s">
        <v>252</v>
      </c>
      <c r="BO423" t="str">
        <f t="shared" si="116"/>
        <v>Thiago /valesca</v>
      </c>
      <c r="BP423" t="b">
        <f t="shared" si="117"/>
        <v>1</v>
      </c>
    </row>
    <row r="424" spans="1:68">
      <c r="A424">
        <v>423</v>
      </c>
      <c r="B424" t="s">
        <v>388</v>
      </c>
      <c r="C424" s="1">
        <v>2039534887</v>
      </c>
      <c r="D424" t="s">
        <v>280</v>
      </c>
      <c r="E424">
        <f>COUNTIF($C$1:C424,C424)</f>
        <v>3</v>
      </c>
      <c r="F424" t="str">
        <f t="shared" si="115"/>
        <v>20395348873</v>
      </c>
      <c r="G424">
        <f t="shared" ref="G424:G487" si="118">IF(IFERROR(FIND("pg",LOWER(B424)),0)=0,0,1)</f>
        <v>0</v>
      </c>
      <c r="H424">
        <f t="shared" ref="H424:H487" si="119">IF(IFERROR(FIND("(f)",LOWER(B424)),0)=0,0,1)</f>
        <v>1</v>
      </c>
      <c r="I424"/>
      <c r="AV424">
        <v>423</v>
      </c>
      <c r="AW424" t="s">
        <v>253</v>
      </c>
      <c r="BM424">
        <v>423</v>
      </c>
      <c r="BN424" t="s">
        <v>253</v>
      </c>
      <c r="BO424" t="str">
        <f t="shared" si="116"/>
        <v>Two (Allisson) (f)</v>
      </c>
      <c r="BP424" t="b">
        <v>1</v>
      </c>
    </row>
    <row r="425" spans="1:68">
      <c r="A425">
        <v>424</v>
      </c>
      <c r="B425" t="s">
        <v>370</v>
      </c>
      <c r="C425" s="1">
        <v>9144839842</v>
      </c>
      <c r="D425" t="s">
        <v>280</v>
      </c>
      <c r="E425">
        <f>COUNTIF($C$1:C425,C425)</f>
        <v>2</v>
      </c>
      <c r="F425" t="str">
        <f t="shared" si="115"/>
        <v>91448398422</v>
      </c>
      <c r="G425">
        <f t="shared" si="118"/>
        <v>0</v>
      </c>
      <c r="H425">
        <f t="shared" si="119"/>
        <v>0</v>
      </c>
      <c r="I425"/>
      <c r="AV425">
        <v>424</v>
      </c>
      <c r="BM425">
        <v>424</v>
      </c>
      <c r="BO425" t="str">
        <f t="shared" si="116"/>
        <v xml:space="preserve">Joe (Juca) Guimaraes </v>
      </c>
      <c r="BP425" t="b">
        <f>BO425=BN425</f>
        <v>0</v>
      </c>
    </row>
    <row r="426" spans="1:68">
      <c r="A426">
        <v>425</v>
      </c>
      <c r="B426" t="s">
        <v>254</v>
      </c>
      <c r="C426" s="1">
        <v>9144061023</v>
      </c>
      <c r="D426" t="s">
        <v>280</v>
      </c>
      <c r="E426">
        <f>COUNTIF($C$1:C426,C426)</f>
        <v>1</v>
      </c>
      <c r="F426" t="str">
        <f t="shared" si="115"/>
        <v>91440610231</v>
      </c>
      <c r="G426">
        <f t="shared" si="118"/>
        <v>0</v>
      </c>
      <c r="H426">
        <f t="shared" si="119"/>
        <v>0</v>
      </c>
      <c r="I426"/>
      <c r="AV426">
        <v>425</v>
      </c>
      <c r="AW426" t="s">
        <v>254</v>
      </c>
      <c r="BM426">
        <v>425</v>
      </c>
      <c r="BN426" t="s">
        <v>254</v>
      </c>
      <c r="BO426" t="str">
        <f t="shared" si="116"/>
        <v>Neima Paulino</v>
      </c>
      <c r="BP426" t="b">
        <f>BO426=BN426</f>
        <v>1</v>
      </c>
    </row>
    <row r="427" spans="1:68">
      <c r="A427">
        <v>426</v>
      </c>
      <c r="B427" t="s">
        <v>365</v>
      </c>
      <c r="D427" t="s">
        <v>281</v>
      </c>
      <c r="E427">
        <f>COUNTIF($C$1:C427,C427)</f>
        <v>0</v>
      </c>
      <c r="F427" t="str">
        <f t="shared" si="115"/>
        <v>0</v>
      </c>
      <c r="G427">
        <f t="shared" si="118"/>
        <v>0</v>
      </c>
      <c r="H427">
        <f t="shared" si="119"/>
        <v>0</v>
      </c>
      <c r="I427" s="12"/>
      <c r="J427" s="12"/>
      <c r="K427" s="12"/>
      <c r="L427" s="12"/>
      <c r="M427" s="12"/>
      <c r="AV427">
        <v>426</v>
      </c>
      <c r="AW427" t="s">
        <v>255</v>
      </c>
      <c r="BM427">
        <v>426</v>
      </c>
      <c r="BN427" t="s">
        <v>255</v>
      </c>
      <c r="BO427" t="str">
        <f t="shared" si="116"/>
        <v>FABRICIO SANTOS (checar)</v>
      </c>
      <c r="BP427" t="b">
        <f>BO427=BN427</f>
        <v>0</v>
      </c>
    </row>
    <row r="428" spans="1:68">
      <c r="A428">
        <v>427</v>
      </c>
      <c r="E428">
        <f>COUNTIF($C$1:C428,C428)</f>
        <v>0</v>
      </c>
      <c r="F428" t="str">
        <f t="shared" si="115"/>
        <v>0</v>
      </c>
      <c r="G428">
        <f t="shared" si="118"/>
        <v>0</v>
      </c>
      <c r="H428">
        <f t="shared" si="119"/>
        <v>0</v>
      </c>
      <c r="I428"/>
      <c r="AV428">
        <v>427</v>
      </c>
      <c r="BM428">
        <v>427</v>
      </c>
      <c r="BO428">
        <f t="shared" si="116"/>
        <v>0</v>
      </c>
      <c r="BP428" t="b">
        <f>BO428=BN428</f>
        <v>1</v>
      </c>
    </row>
    <row r="429" spans="1:68">
      <c r="A429">
        <v>428</v>
      </c>
      <c r="B429" t="s">
        <v>389</v>
      </c>
      <c r="C429" s="1">
        <v>9144381725</v>
      </c>
      <c r="D429" t="s">
        <v>280</v>
      </c>
      <c r="E429">
        <f>COUNTIF($C$1:C429,C429)</f>
        <v>3</v>
      </c>
      <c r="F429" t="str">
        <f t="shared" si="115"/>
        <v>91443817253</v>
      </c>
      <c r="G429">
        <f t="shared" si="118"/>
        <v>0</v>
      </c>
      <c r="H429">
        <f t="shared" si="119"/>
        <v>1</v>
      </c>
      <c r="I429"/>
      <c r="AV429">
        <v>428</v>
      </c>
      <c r="AW429" t="s">
        <v>256</v>
      </c>
      <c r="BM429">
        <v>428</v>
      </c>
      <c r="BN429" t="s">
        <v>256</v>
      </c>
      <c r="BO429" t="str">
        <f t="shared" si="116"/>
        <v>Juliano fritas / Gustavo (f)</v>
      </c>
      <c r="BP429" t="b">
        <v>1</v>
      </c>
    </row>
    <row r="430" spans="1:68">
      <c r="A430">
        <v>429</v>
      </c>
      <c r="E430">
        <f>COUNTIF($C$1:C430,C430)</f>
        <v>0</v>
      </c>
      <c r="F430" t="str">
        <f t="shared" si="115"/>
        <v>0</v>
      </c>
      <c r="G430">
        <f t="shared" si="118"/>
        <v>0</v>
      </c>
      <c r="H430">
        <f t="shared" si="119"/>
        <v>0</v>
      </c>
      <c r="I430"/>
      <c r="AV430">
        <v>429</v>
      </c>
      <c r="AW430" t="s">
        <v>257</v>
      </c>
      <c r="BM430">
        <v>429</v>
      </c>
      <c r="BN430" t="s">
        <v>257</v>
      </c>
      <c r="BO430">
        <f t="shared" si="116"/>
        <v>0</v>
      </c>
      <c r="BP430" t="b">
        <f t="shared" ref="BP430:BP444" si="120">BO430=BN430</f>
        <v>0</v>
      </c>
    </row>
    <row r="431" spans="1:68">
      <c r="A431">
        <v>430</v>
      </c>
      <c r="B431" t="s">
        <v>258</v>
      </c>
      <c r="C431" s="1">
        <v>9144904255</v>
      </c>
      <c r="D431" t="s">
        <v>280</v>
      </c>
      <c r="E431">
        <f>COUNTIF($C$1:C431,C431)</f>
        <v>6</v>
      </c>
      <c r="F431" t="str">
        <f t="shared" si="115"/>
        <v>91449042556</v>
      </c>
      <c r="G431">
        <f t="shared" si="118"/>
        <v>1</v>
      </c>
      <c r="H431">
        <f t="shared" si="119"/>
        <v>0</v>
      </c>
      <c r="I431" s="12"/>
      <c r="J431" s="12"/>
      <c r="K431" s="12"/>
      <c r="L431" s="12"/>
      <c r="M431" s="12"/>
      <c r="AV431">
        <v>430</v>
      </c>
      <c r="AW431" t="s">
        <v>258</v>
      </c>
      <c r="BM431">
        <v>430</v>
      </c>
      <c r="BN431" t="s">
        <v>258</v>
      </c>
      <c r="BO431" t="str">
        <f t="shared" si="116"/>
        <v>Carlos Serafim pg</v>
      </c>
      <c r="BP431" t="b">
        <f t="shared" si="120"/>
        <v>1</v>
      </c>
    </row>
    <row r="432" spans="1:68">
      <c r="A432">
        <v>431</v>
      </c>
      <c r="E432">
        <f>COUNTIF($C$1:C432,C432)</f>
        <v>0</v>
      </c>
      <c r="F432" t="str">
        <f t="shared" si="115"/>
        <v>0</v>
      </c>
      <c r="G432">
        <f t="shared" si="118"/>
        <v>0</v>
      </c>
      <c r="H432">
        <f t="shared" si="119"/>
        <v>0</v>
      </c>
      <c r="I432"/>
      <c r="AV432">
        <v>431</v>
      </c>
      <c r="BM432">
        <v>431</v>
      </c>
      <c r="BO432">
        <f t="shared" si="116"/>
        <v>0</v>
      </c>
      <c r="BP432" t="b">
        <f t="shared" si="120"/>
        <v>1</v>
      </c>
    </row>
    <row r="433" spans="1:68">
      <c r="A433">
        <v>432</v>
      </c>
      <c r="B433" t="s">
        <v>259</v>
      </c>
      <c r="C433" s="1">
        <v>9145226788</v>
      </c>
      <c r="D433" t="s">
        <v>280</v>
      </c>
      <c r="E433">
        <f>COUNTIF($C$1:C433,C433)</f>
        <v>1</v>
      </c>
      <c r="F433" t="str">
        <f t="shared" si="115"/>
        <v>91452267881</v>
      </c>
      <c r="G433">
        <f t="shared" si="118"/>
        <v>1</v>
      </c>
      <c r="H433">
        <f t="shared" si="119"/>
        <v>0</v>
      </c>
      <c r="I433"/>
      <c r="AV433">
        <v>432</v>
      </c>
      <c r="AW433" t="s">
        <v>259</v>
      </c>
      <c r="BM433">
        <v>432</v>
      </c>
      <c r="BN433" t="s">
        <v>259</v>
      </c>
      <c r="BO433" t="str">
        <f t="shared" si="116"/>
        <v>Leandro / Dione pg</v>
      </c>
      <c r="BP433" t="b">
        <f t="shared" si="120"/>
        <v>1</v>
      </c>
    </row>
    <row r="434" spans="1:68">
      <c r="A434">
        <v>433</v>
      </c>
      <c r="E434">
        <f>COUNTIF($C$1:C434,C434)</f>
        <v>0</v>
      </c>
      <c r="F434" t="str">
        <f t="shared" si="115"/>
        <v>0</v>
      </c>
      <c r="G434">
        <f t="shared" si="118"/>
        <v>0</v>
      </c>
      <c r="H434">
        <f t="shared" si="119"/>
        <v>0</v>
      </c>
      <c r="I434"/>
      <c r="AV434">
        <v>433</v>
      </c>
      <c r="BM434">
        <v>433</v>
      </c>
      <c r="BO434">
        <f t="shared" si="116"/>
        <v>0</v>
      </c>
      <c r="BP434" t="b">
        <f t="shared" si="120"/>
        <v>1</v>
      </c>
    </row>
    <row r="435" spans="1:68">
      <c r="A435">
        <v>434</v>
      </c>
      <c r="B435" t="s">
        <v>260</v>
      </c>
      <c r="C435" s="1">
        <v>2036908251</v>
      </c>
      <c r="D435" t="s">
        <v>280</v>
      </c>
      <c r="E435">
        <f>COUNTIF($C$1:C435,C435)</f>
        <v>3</v>
      </c>
      <c r="F435" t="str">
        <f t="shared" si="115"/>
        <v>20369082513</v>
      </c>
      <c r="G435">
        <f t="shared" si="118"/>
        <v>0</v>
      </c>
      <c r="H435">
        <f t="shared" si="119"/>
        <v>0</v>
      </c>
      <c r="I435" s="12"/>
      <c r="J435" s="12"/>
      <c r="K435" s="12"/>
      <c r="L435" s="12"/>
      <c r="M435" s="12"/>
      <c r="AV435">
        <v>434</v>
      </c>
      <c r="AW435" t="s">
        <v>260</v>
      </c>
      <c r="BM435">
        <v>434</v>
      </c>
      <c r="BN435" t="s">
        <v>260</v>
      </c>
      <c r="BO435" t="str">
        <f t="shared" si="116"/>
        <v>GEYRY ZUELITA /gallardo</v>
      </c>
      <c r="BP435" t="b">
        <f t="shared" si="120"/>
        <v>1</v>
      </c>
    </row>
    <row r="436" spans="1:68">
      <c r="A436">
        <v>435</v>
      </c>
      <c r="E436">
        <f>COUNTIF($C$1:C436,C436)</f>
        <v>0</v>
      </c>
      <c r="F436" t="str">
        <f t="shared" si="115"/>
        <v>0</v>
      </c>
      <c r="G436">
        <f t="shared" si="118"/>
        <v>0</v>
      </c>
      <c r="H436">
        <f t="shared" si="119"/>
        <v>0</v>
      </c>
      <c r="I436"/>
      <c r="AV436">
        <v>435</v>
      </c>
      <c r="BM436">
        <v>435</v>
      </c>
      <c r="BO436">
        <f t="shared" si="116"/>
        <v>0</v>
      </c>
      <c r="BP436" t="b">
        <f t="shared" si="120"/>
        <v>1</v>
      </c>
    </row>
    <row r="437" spans="1:68">
      <c r="A437">
        <v>436</v>
      </c>
      <c r="E437">
        <f>COUNTIF($C$1:C437,C437)</f>
        <v>0</v>
      </c>
      <c r="F437" t="str">
        <f t="shared" si="115"/>
        <v>0</v>
      </c>
      <c r="G437">
        <f t="shared" si="118"/>
        <v>0</v>
      </c>
      <c r="H437">
        <f t="shared" si="119"/>
        <v>0</v>
      </c>
      <c r="I437"/>
      <c r="AV437">
        <v>436</v>
      </c>
      <c r="BM437">
        <v>436</v>
      </c>
      <c r="BO437">
        <f t="shared" si="116"/>
        <v>0</v>
      </c>
      <c r="BP437" t="b">
        <f t="shared" si="120"/>
        <v>1</v>
      </c>
    </row>
    <row r="438" spans="1:68">
      <c r="A438">
        <v>437</v>
      </c>
      <c r="E438">
        <f>COUNTIF($C$1:C438,C438)</f>
        <v>0</v>
      </c>
      <c r="F438" t="str">
        <f t="shared" si="115"/>
        <v>0</v>
      </c>
      <c r="G438">
        <f t="shared" si="118"/>
        <v>0</v>
      </c>
      <c r="H438">
        <f t="shared" si="119"/>
        <v>0</v>
      </c>
      <c r="I438"/>
      <c r="AV438">
        <v>437</v>
      </c>
      <c r="BM438">
        <v>437</v>
      </c>
      <c r="BO438">
        <f t="shared" si="116"/>
        <v>0</v>
      </c>
      <c r="BP438" t="b">
        <f t="shared" si="120"/>
        <v>1</v>
      </c>
    </row>
    <row r="439" spans="1:68">
      <c r="A439">
        <v>438</v>
      </c>
      <c r="E439">
        <f>COUNTIF($C$1:C439,C439)</f>
        <v>0</v>
      </c>
      <c r="F439" t="str">
        <f t="shared" si="115"/>
        <v>0</v>
      </c>
      <c r="G439">
        <f t="shared" si="118"/>
        <v>0</v>
      </c>
      <c r="H439">
        <f t="shared" si="119"/>
        <v>0</v>
      </c>
      <c r="I439"/>
      <c r="AV439">
        <v>438</v>
      </c>
      <c r="BM439">
        <v>438</v>
      </c>
      <c r="BO439">
        <f t="shared" si="116"/>
        <v>0</v>
      </c>
      <c r="BP439" t="b">
        <f t="shared" si="120"/>
        <v>1</v>
      </c>
    </row>
    <row r="440" spans="1:68">
      <c r="A440">
        <v>439</v>
      </c>
      <c r="B440" t="s">
        <v>365</v>
      </c>
      <c r="D440" t="s">
        <v>281</v>
      </c>
      <c r="E440">
        <f>COUNTIF($C$1:C440,C440)</f>
        <v>0</v>
      </c>
      <c r="F440" t="str">
        <f t="shared" si="115"/>
        <v>0</v>
      </c>
      <c r="G440">
        <f t="shared" si="118"/>
        <v>0</v>
      </c>
      <c r="H440">
        <f t="shared" si="119"/>
        <v>0</v>
      </c>
      <c r="I440" s="12"/>
      <c r="J440" s="12"/>
      <c r="K440" s="12"/>
      <c r="L440" s="12"/>
      <c r="M440" s="12"/>
      <c r="AV440">
        <v>439</v>
      </c>
      <c r="AW440" t="s">
        <v>255</v>
      </c>
      <c r="BM440">
        <v>439</v>
      </c>
      <c r="BN440" t="s">
        <v>255</v>
      </c>
      <c r="BO440" t="str">
        <f t="shared" si="116"/>
        <v>FABRICIO SANTOS (checar)</v>
      </c>
      <c r="BP440" t="b">
        <f t="shared" si="120"/>
        <v>0</v>
      </c>
    </row>
    <row r="441" spans="1:68">
      <c r="A441">
        <v>440</v>
      </c>
      <c r="E441">
        <f>COUNTIF($C$1:C441,C441)</f>
        <v>0</v>
      </c>
      <c r="F441" t="str">
        <f t="shared" si="115"/>
        <v>0</v>
      </c>
      <c r="G441">
        <f t="shared" si="118"/>
        <v>0</v>
      </c>
      <c r="H441">
        <f t="shared" si="119"/>
        <v>0</v>
      </c>
      <c r="I441"/>
      <c r="AV441">
        <v>440</v>
      </c>
      <c r="BM441">
        <v>440</v>
      </c>
      <c r="BO441">
        <f t="shared" si="116"/>
        <v>0</v>
      </c>
      <c r="BP441" t="b">
        <f t="shared" si="120"/>
        <v>1</v>
      </c>
    </row>
    <row r="442" spans="1:68">
      <c r="A442">
        <v>441</v>
      </c>
      <c r="E442">
        <f>COUNTIF($C$1:C442,C442)</f>
        <v>0</v>
      </c>
      <c r="F442" t="str">
        <f t="shared" si="115"/>
        <v>0</v>
      </c>
      <c r="G442">
        <f t="shared" si="118"/>
        <v>0</v>
      </c>
      <c r="H442">
        <f t="shared" si="119"/>
        <v>0</v>
      </c>
      <c r="I442"/>
      <c r="AV442">
        <v>441</v>
      </c>
      <c r="BM442">
        <v>441</v>
      </c>
      <c r="BO442">
        <f t="shared" si="116"/>
        <v>0</v>
      </c>
      <c r="BP442" t="b">
        <f t="shared" si="120"/>
        <v>1</v>
      </c>
    </row>
    <row r="443" spans="1:68">
      <c r="A443">
        <v>442</v>
      </c>
      <c r="B443" t="s">
        <v>261</v>
      </c>
      <c r="C443" s="1">
        <v>5511961917900</v>
      </c>
      <c r="D443" t="s">
        <v>280</v>
      </c>
      <c r="E443">
        <f>COUNTIF($C$1:C443,C443)</f>
        <v>5</v>
      </c>
      <c r="F443" t="str">
        <f t="shared" si="115"/>
        <v>55119619179005</v>
      </c>
      <c r="G443">
        <f t="shared" si="118"/>
        <v>0</v>
      </c>
      <c r="H443">
        <f t="shared" si="119"/>
        <v>0</v>
      </c>
      <c r="I443"/>
      <c r="AV443">
        <v>442</v>
      </c>
      <c r="AW443" t="s">
        <v>261</v>
      </c>
      <c r="BM443">
        <v>442</v>
      </c>
      <c r="BN443" t="s">
        <v>261</v>
      </c>
      <c r="BO443" t="str">
        <f t="shared" si="116"/>
        <v>Karla</v>
      </c>
      <c r="BP443" t="b">
        <f t="shared" si="120"/>
        <v>1</v>
      </c>
    </row>
    <row r="444" spans="1:68">
      <c r="A444">
        <v>443</v>
      </c>
      <c r="E444">
        <f>COUNTIF($C$1:C444,C444)</f>
        <v>0</v>
      </c>
      <c r="F444" t="str">
        <f t="shared" si="115"/>
        <v>0</v>
      </c>
      <c r="G444">
        <f t="shared" si="118"/>
        <v>0</v>
      </c>
      <c r="H444">
        <f t="shared" si="119"/>
        <v>0</v>
      </c>
      <c r="I444"/>
      <c r="AV444">
        <v>443</v>
      </c>
      <c r="BM444">
        <v>443</v>
      </c>
      <c r="BO444">
        <f t="shared" si="116"/>
        <v>0</v>
      </c>
      <c r="BP444" t="b">
        <f t="shared" si="120"/>
        <v>1</v>
      </c>
    </row>
    <row r="445" spans="1:68">
      <c r="A445">
        <v>444</v>
      </c>
      <c r="B445" t="s">
        <v>307</v>
      </c>
      <c r="C445" s="1">
        <v>4754496806</v>
      </c>
      <c r="D445" t="s">
        <v>280</v>
      </c>
      <c r="E445">
        <f>COUNTIF($C$1:C445,C445)</f>
        <v>2</v>
      </c>
      <c r="F445" t="str">
        <f t="shared" si="115"/>
        <v>47544968062</v>
      </c>
      <c r="G445">
        <f t="shared" si="118"/>
        <v>1</v>
      </c>
      <c r="H445">
        <f t="shared" si="119"/>
        <v>0</v>
      </c>
      <c r="I445" s="12"/>
      <c r="J445" s="12"/>
      <c r="K445" s="12"/>
      <c r="L445" s="12"/>
      <c r="M445" s="12"/>
      <c r="AV445">
        <v>444</v>
      </c>
      <c r="AW445" t="s">
        <v>262</v>
      </c>
      <c r="BM445">
        <v>444</v>
      </c>
      <c r="BN445" t="s">
        <v>262</v>
      </c>
      <c r="BO445" t="str">
        <f t="shared" si="116"/>
        <v>ADILSON pg</v>
      </c>
      <c r="BP445" t="b">
        <v>1</v>
      </c>
    </row>
    <row r="446" spans="1:68">
      <c r="A446">
        <v>445</v>
      </c>
      <c r="E446">
        <f>COUNTIF($C$1:C446,C446)</f>
        <v>0</v>
      </c>
      <c r="F446" t="str">
        <f t="shared" si="115"/>
        <v>0</v>
      </c>
      <c r="G446">
        <f t="shared" si="118"/>
        <v>0</v>
      </c>
      <c r="H446">
        <f t="shared" si="119"/>
        <v>0</v>
      </c>
      <c r="I446"/>
      <c r="AV446">
        <v>445</v>
      </c>
      <c r="BM446">
        <v>445</v>
      </c>
      <c r="BO446">
        <f t="shared" si="116"/>
        <v>0</v>
      </c>
      <c r="BP446" t="b">
        <f t="shared" ref="BP446:BP456" si="121">BO446=BN446</f>
        <v>1</v>
      </c>
    </row>
    <row r="447" spans="1:68">
      <c r="A447">
        <v>446</v>
      </c>
      <c r="E447">
        <f>COUNTIF($C$1:C447,C447)</f>
        <v>0</v>
      </c>
      <c r="F447" t="str">
        <f t="shared" si="115"/>
        <v>0</v>
      </c>
      <c r="G447">
        <f t="shared" si="118"/>
        <v>0</v>
      </c>
      <c r="H447">
        <f t="shared" si="119"/>
        <v>0</v>
      </c>
      <c r="I447"/>
      <c r="AV447">
        <v>446</v>
      </c>
      <c r="BM447">
        <v>446</v>
      </c>
      <c r="BO447">
        <f t="shared" si="116"/>
        <v>0</v>
      </c>
      <c r="BP447" t="b">
        <f t="shared" si="121"/>
        <v>1</v>
      </c>
    </row>
    <row r="448" spans="1:68">
      <c r="A448">
        <v>447</v>
      </c>
      <c r="E448">
        <f>COUNTIF($C$1:C448,C448)</f>
        <v>0</v>
      </c>
      <c r="F448" t="str">
        <f t="shared" si="115"/>
        <v>0</v>
      </c>
      <c r="G448">
        <f t="shared" si="118"/>
        <v>0</v>
      </c>
      <c r="H448">
        <f t="shared" si="119"/>
        <v>0</v>
      </c>
      <c r="I448"/>
      <c r="AV448">
        <v>447</v>
      </c>
      <c r="BM448">
        <v>447</v>
      </c>
      <c r="BO448">
        <f t="shared" si="116"/>
        <v>0</v>
      </c>
      <c r="BP448" t="b">
        <f t="shared" si="121"/>
        <v>1</v>
      </c>
    </row>
    <row r="449" spans="1:68">
      <c r="A449">
        <v>448</v>
      </c>
      <c r="B449" t="s">
        <v>263</v>
      </c>
      <c r="C449" s="1">
        <v>2036908251</v>
      </c>
      <c r="D449" t="s">
        <v>280</v>
      </c>
      <c r="E449">
        <f>COUNTIF($C$1:C449,C449)</f>
        <v>4</v>
      </c>
      <c r="F449" t="str">
        <f t="shared" si="115"/>
        <v>20369082514</v>
      </c>
      <c r="G449">
        <f t="shared" si="118"/>
        <v>0</v>
      </c>
      <c r="H449">
        <f t="shared" si="119"/>
        <v>0</v>
      </c>
      <c r="I449"/>
      <c r="AV449">
        <v>448</v>
      </c>
      <c r="AW449" t="s">
        <v>263</v>
      </c>
      <c r="BM449">
        <v>448</v>
      </c>
      <c r="BN449" t="s">
        <v>263</v>
      </c>
      <c r="BO449" t="str">
        <f t="shared" si="116"/>
        <v>Marvin Rosa</v>
      </c>
      <c r="BP449" t="b">
        <f t="shared" si="121"/>
        <v>1</v>
      </c>
    </row>
    <row r="450" spans="1:68">
      <c r="A450">
        <v>449</v>
      </c>
      <c r="E450">
        <f>COUNTIF($C$1:C450,C450)</f>
        <v>0</v>
      </c>
      <c r="F450" t="str">
        <f t="shared" ref="F450:F513" si="122">C450&amp;E450</f>
        <v>0</v>
      </c>
      <c r="G450">
        <f t="shared" si="118"/>
        <v>0</v>
      </c>
      <c r="H450">
        <f t="shared" si="119"/>
        <v>0</v>
      </c>
      <c r="I450"/>
      <c r="AV450">
        <v>449</v>
      </c>
      <c r="BM450">
        <v>449</v>
      </c>
      <c r="BO450">
        <f t="shared" ref="BO450:BO501" si="123">VLOOKUP(BM450,A:B,2,0)</f>
        <v>0</v>
      </c>
      <c r="BP450" t="b">
        <f t="shared" si="121"/>
        <v>1</v>
      </c>
    </row>
    <row r="451" spans="1:68">
      <c r="A451">
        <v>450</v>
      </c>
      <c r="B451" t="s">
        <v>264</v>
      </c>
      <c r="C451" s="1">
        <v>2036105893</v>
      </c>
      <c r="D451" t="s">
        <v>280</v>
      </c>
      <c r="E451">
        <f>COUNTIF($C$1:C451,C451)</f>
        <v>3</v>
      </c>
      <c r="F451" t="str">
        <f t="shared" si="122"/>
        <v>20361058933</v>
      </c>
      <c r="G451">
        <f t="shared" si="118"/>
        <v>0</v>
      </c>
      <c r="H451">
        <f t="shared" si="119"/>
        <v>0</v>
      </c>
      <c r="I451" s="12"/>
      <c r="J451" s="12"/>
      <c r="K451" s="12"/>
      <c r="L451" s="12"/>
      <c r="M451" s="12"/>
      <c r="AV451">
        <v>450</v>
      </c>
      <c r="AW451" t="s">
        <v>264</v>
      </c>
      <c r="BM451">
        <v>450</v>
      </c>
      <c r="BN451" t="s">
        <v>264</v>
      </c>
      <c r="BO451" t="str">
        <f t="shared" si="123"/>
        <v>DAVID DA SILVA</v>
      </c>
      <c r="BP451" t="b">
        <f t="shared" si="121"/>
        <v>1</v>
      </c>
    </row>
    <row r="452" spans="1:68">
      <c r="A452">
        <v>451</v>
      </c>
      <c r="E452">
        <f>COUNTIF($C$1:C452,C452)</f>
        <v>0</v>
      </c>
      <c r="F452" t="str">
        <f t="shared" si="122"/>
        <v>0</v>
      </c>
      <c r="G452">
        <f t="shared" si="118"/>
        <v>0</v>
      </c>
      <c r="H452">
        <f t="shared" si="119"/>
        <v>0</v>
      </c>
      <c r="I452"/>
      <c r="AV452">
        <v>451</v>
      </c>
      <c r="BM452">
        <v>451</v>
      </c>
      <c r="BO452">
        <f t="shared" si="123"/>
        <v>0</v>
      </c>
      <c r="BP452" t="b">
        <f t="shared" si="121"/>
        <v>1</v>
      </c>
    </row>
    <row r="453" spans="1:68">
      <c r="A453">
        <v>452</v>
      </c>
      <c r="E453">
        <f>COUNTIF($C$1:C453,C453)</f>
        <v>0</v>
      </c>
      <c r="F453" t="str">
        <f t="shared" si="122"/>
        <v>0</v>
      </c>
      <c r="G453">
        <f t="shared" si="118"/>
        <v>0</v>
      </c>
      <c r="H453">
        <f t="shared" si="119"/>
        <v>0</v>
      </c>
      <c r="I453"/>
      <c r="AV453">
        <v>452</v>
      </c>
      <c r="BM453">
        <v>452</v>
      </c>
      <c r="BO453">
        <f t="shared" si="123"/>
        <v>0</v>
      </c>
      <c r="BP453" t="b">
        <f t="shared" si="121"/>
        <v>1</v>
      </c>
    </row>
    <row r="454" spans="1:68">
      <c r="A454">
        <v>453</v>
      </c>
      <c r="E454">
        <f>COUNTIF($C$1:C454,C454)</f>
        <v>0</v>
      </c>
      <c r="F454" t="str">
        <f t="shared" si="122"/>
        <v>0</v>
      </c>
      <c r="G454">
        <f t="shared" si="118"/>
        <v>0</v>
      </c>
      <c r="H454">
        <f t="shared" si="119"/>
        <v>0</v>
      </c>
      <c r="I454"/>
      <c r="AV454">
        <v>453</v>
      </c>
      <c r="BM454">
        <v>453</v>
      </c>
      <c r="BO454">
        <f t="shared" si="123"/>
        <v>0</v>
      </c>
      <c r="BP454" t="b">
        <f t="shared" si="121"/>
        <v>1</v>
      </c>
    </row>
    <row r="455" spans="1:68">
      <c r="A455">
        <v>454</v>
      </c>
      <c r="E455">
        <f>COUNTIF($C$1:C455,C455)</f>
        <v>0</v>
      </c>
      <c r="F455" t="str">
        <f t="shared" si="122"/>
        <v>0</v>
      </c>
      <c r="G455">
        <f t="shared" si="118"/>
        <v>0</v>
      </c>
      <c r="H455">
        <f t="shared" si="119"/>
        <v>0</v>
      </c>
      <c r="I455"/>
      <c r="AV455">
        <v>454</v>
      </c>
      <c r="BM455">
        <v>454</v>
      </c>
      <c r="BO455">
        <f t="shared" si="123"/>
        <v>0</v>
      </c>
      <c r="BP455" t="b">
        <f t="shared" si="121"/>
        <v>1</v>
      </c>
    </row>
    <row r="456" spans="1:68">
      <c r="A456">
        <v>455</v>
      </c>
      <c r="E456">
        <f>COUNTIF($C$1:C456,C456)</f>
        <v>0</v>
      </c>
      <c r="F456" t="str">
        <f t="shared" si="122"/>
        <v>0</v>
      </c>
      <c r="G456">
        <f t="shared" si="118"/>
        <v>0</v>
      </c>
      <c r="H456">
        <f t="shared" si="119"/>
        <v>0</v>
      </c>
      <c r="I456"/>
      <c r="AV456">
        <v>455</v>
      </c>
      <c r="BM456">
        <v>455</v>
      </c>
      <c r="BO456">
        <f t="shared" si="123"/>
        <v>0</v>
      </c>
      <c r="BP456" t="b">
        <f t="shared" si="121"/>
        <v>1</v>
      </c>
    </row>
    <row r="457" spans="1:68">
      <c r="A457">
        <v>456</v>
      </c>
      <c r="B457" t="s">
        <v>319</v>
      </c>
      <c r="C457" s="1">
        <v>9148799779</v>
      </c>
      <c r="D457" t="s">
        <v>280</v>
      </c>
      <c r="E457">
        <f>COUNTIF($C$1:C457,C457)</f>
        <v>3</v>
      </c>
      <c r="F457" t="str">
        <f t="shared" si="122"/>
        <v>91487997793</v>
      </c>
      <c r="G457">
        <f t="shared" si="118"/>
        <v>1</v>
      </c>
      <c r="H457">
        <f t="shared" si="119"/>
        <v>0</v>
      </c>
      <c r="I457"/>
      <c r="AV457">
        <v>456</v>
      </c>
      <c r="AW457" t="s">
        <v>265</v>
      </c>
      <c r="BM457">
        <v>456</v>
      </c>
      <c r="BN457" t="s">
        <v>265</v>
      </c>
      <c r="BO457" t="str">
        <f t="shared" si="123"/>
        <v>João /filho pg</v>
      </c>
      <c r="BP457" t="b">
        <v>1</v>
      </c>
    </row>
    <row r="458" spans="1:68">
      <c r="A458">
        <v>457</v>
      </c>
      <c r="B458" t="s">
        <v>266</v>
      </c>
      <c r="C458" s="1">
        <v>5511961917900</v>
      </c>
      <c r="D458" t="s">
        <v>280</v>
      </c>
      <c r="E458">
        <f>COUNTIF($C$1:C458,C458)</f>
        <v>6</v>
      </c>
      <c r="F458" t="str">
        <f t="shared" si="122"/>
        <v>55119619179006</v>
      </c>
      <c r="G458">
        <f t="shared" si="118"/>
        <v>0</v>
      </c>
      <c r="H458">
        <f t="shared" si="119"/>
        <v>0</v>
      </c>
      <c r="I458"/>
      <c r="AV458">
        <v>457</v>
      </c>
      <c r="AW458" t="s">
        <v>266</v>
      </c>
      <c r="BM458">
        <v>457</v>
      </c>
      <c r="BN458" t="s">
        <v>266</v>
      </c>
      <c r="BO458" t="str">
        <f t="shared" si="123"/>
        <v>Karla Pamela</v>
      </c>
      <c r="BP458" t="b">
        <f t="shared" ref="BP458:BP467" si="124">BO458=BN458</f>
        <v>1</v>
      </c>
    </row>
    <row r="459" spans="1:68">
      <c r="A459">
        <v>458</v>
      </c>
      <c r="E459">
        <f>COUNTIF($C$1:C459,C459)</f>
        <v>0</v>
      </c>
      <c r="F459" t="str">
        <f t="shared" si="122"/>
        <v>0</v>
      </c>
      <c r="G459">
        <f t="shared" si="118"/>
        <v>0</v>
      </c>
      <c r="H459">
        <f t="shared" si="119"/>
        <v>0</v>
      </c>
      <c r="I459"/>
      <c r="AV459">
        <v>458</v>
      </c>
      <c r="BM459">
        <v>458</v>
      </c>
      <c r="BO459">
        <f t="shared" si="123"/>
        <v>0</v>
      </c>
      <c r="BP459" t="b">
        <f t="shared" si="124"/>
        <v>1</v>
      </c>
    </row>
    <row r="460" spans="1:68">
      <c r="A460">
        <v>459</v>
      </c>
      <c r="B460" t="s">
        <v>267</v>
      </c>
      <c r="C460" s="1">
        <v>9148446172</v>
      </c>
      <c r="D460" t="s">
        <v>280</v>
      </c>
      <c r="E460">
        <f>COUNTIF($C$1:C460,C460)</f>
        <v>3</v>
      </c>
      <c r="F460" t="str">
        <f t="shared" si="122"/>
        <v>91484461723</v>
      </c>
      <c r="G460">
        <f t="shared" si="118"/>
        <v>0</v>
      </c>
      <c r="H460">
        <f t="shared" si="119"/>
        <v>0</v>
      </c>
      <c r="I460"/>
      <c r="AV460">
        <v>459</v>
      </c>
      <c r="AW460" t="s">
        <v>267</v>
      </c>
      <c r="BM460">
        <v>459</v>
      </c>
      <c r="BN460" t="s">
        <v>267</v>
      </c>
      <c r="BO460" t="str">
        <f t="shared" si="123"/>
        <v>SALVADOR</v>
      </c>
      <c r="BP460" t="b">
        <f t="shared" si="124"/>
        <v>1</v>
      </c>
    </row>
    <row r="461" spans="1:68">
      <c r="A461">
        <v>460</v>
      </c>
      <c r="E461">
        <f>COUNTIF($C$1:C461,C461)</f>
        <v>0</v>
      </c>
      <c r="F461" t="str">
        <f t="shared" si="122"/>
        <v>0</v>
      </c>
      <c r="G461">
        <f t="shared" si="118"/>
        <v>0</v>
      </c>
      <c r="H461">
        <f t="shared" si="119"/>
        <v>0</v>
      </c>
      <c r="I461"/>
      <c r="AV461">
        <v>460</v>
      </c>
      <c r="BM461">
        <v>460</v>
      </c>
      <c r="BO461">
        <f t="shared" si="123"/>
        <v>0</v>
      </c>
      <c r="BP461" t="b">
        <f t="shared" si="124"/>
        <v>1</v>
      </c>
    </row>
    <row r="462" spans="1:68">
      <c r="A462">
        <v>461</v>
      </c>
      <c r="B462" t="s">
        <v>390</v>
      </c>
      <c r="C462" s="1">
        <v>2035360916</v>
      </c>
      <c r="D462" t="s">
        <v>280</v>
      </c>
      <c r="E462">
        <f>COUNTIF($C$1:C462,C462)</f>
        <v>3</v>
      </c>
      <c r="F462" t="str">
        <f t="shared" si="122"/>
        <v>20353609163</v>
      </c>
      <c r="G462">
        <f t="shared" si="118"/>
        <v>0</v>
      </c>
      <c r="H462">
        <f t="shared" si="119"/>
        <v>1</v>
      </c>
      <c r="I462" s="12"/>
      <c r="J462" s="12"/>
      <c r="K462" s="12"/>
      <c r="L462" s="12"/>
      <c r="M462" s="12"/>
      <c r="AV462">
        <v>461</v>
      </c>
      <c r="AW462" t="s">
        <v>268</v>
      </c>
      <c r="BM462">
        <v>461</v>
      </c>
      <c r="BN462" t="s">
        <v>268</v>
      </c>
      <c r="BO462" t="str">
        <f t="shared" si="123"/>
        <v>Adalberto Martins (f)</v>
      </c>
      <c r="BP462" t="b">
        <f t="shared" si="124"/>
        <v>0</v>
      </c>
    </row>
    <row r="463" spans="1:68">
      <c r="A463">
        <v>462</v>
      </c>
      <c r="B463" t="s">
        <v>391</v>
      </c>
      <c r="C463" s="1">
        <v>9143190338</v>
      </c>
      <c r="D463" t="s">
        <v>280</v>
      </c>
      <c r="E463">
        <f>COUNTIF($C$1:C463,C463)</f>
        <v>4</v>
      </c>
      <c r="F463" t="str">
        <f t="shared" si="122"/>
        <v>91431903384</v>
      </c>
      <c r="G463">
        <f t="shared" si="118"/>
        <v>0</v>
      </c>
      <c r="H463">
        <f t="shared" si="119"/>
        <v>1</v>
      </c>
      <c r="I463"/>
      <c r="AV463">
        <v>462</v>
      </c>
      <c r="AW463" t="s">
        <v>269</v>
      </c>
      <c r="BM463">
        <v>462</v>
      </c>
      <c r="BN463" t="s">
        <v>269</v>
      </c>
      <c r="BO463" t="str">
        <f t="shared" si="123"/>
        <v>Thiago / Jon (f)</v>
      </c>
      <c r="BP463" t="b">
        <f t="shared" si="124"/>
        <v>0</v>
      </c>
    </row>
    <row r="464" spans="1:68">
      <c r="A464">
        <v>463</v>
      </c>
      <c r="E464">
        <f>COUNTIF($C$1:C464,C464)</f>
        <v>0</v>
      </c>
      <c r="F464" t="str">
        <f t="shared" si="122"/>
        <v>0</v>
      </c>
      <c r="G464">
        <f t="shared" si="118"/>
        <v>0</v>
      </c>
      <c r="H464">
        <f t="shared" si="119"/>
        <v>0</v>
      </c>
      <c r="I464"/>
      <c r="AV464">
        <v>463</v>
      </c>
      <c r="BM464">
        <v>463</v>
      </c>
      <c r="BO464">
        <f t="shared" si="123"/>
        <v>0</v>
      </c>
      <c r="BP464" t="b">
        <f t="shared" si="124"/>
        <v>1</v>
      </c>
    </row>
    <row r="465" spans="1:68">
      <c r="A465">
        <v>464</v>
      </c>
      <c r="E465">
        <f>COUNTIF($C$1:C465,C465)</f>
        <v>0</v>
      </c>
      <c r="F465" t="str">
        <f t="shared" si="122"/>
        <v>0</v>
      </c>
      <c r="G465">
        <f t="shared" si="118"/>
        <v>0</v>
      </c>
      <c r="H465">
        <f t="shared" si="119"/>
        <v>0</v>
      </c>
      <c r="I465"/>
      <c r="AV465">
        <v>464</v>
      </c>
      <c r="BM465">
        <v>464</v>
      </c>
      <c r="BO465">
        <f t="shared" si="123"/>
        <v>0</v>
      </c>
      <c r="BP465" t="b">
        <f t="shared" si="124"/>
        <v>1</v>
      </c>
    </row>
    <row r="466" spans="1:68">
      <c r="A466">
        <v>465</v>
      </c>
      <c r="E466">
        <f>COUNTIF($C$1:C466,C466)</f>
        <v>0</v>
      </c>
      <c r="F466" t="str">
        <f t="shared" si="122"/>
        <v>0</v>
      </c>
      <c r="G466">
        <f t="shared" si="118"/>
        <v>0</v>
      </c>
      <c r="H466">
        <f t="shared" si="119"/>
        <v>0</v>
      </c>
      <c r="I466"/>
      <c r="AV466">
        <v>465</v>
      </c>
      <c r="BM466">
        <v>465</v>
      </c>
      <c r="BO466">
        <f t="shared" si="123"/>
        <v>0</v>
      </c>
      <c r="BP466" t="b">
        <f t="shared" si="124"/>
        <v>1</v>
      </c>
    </row>
    <row r="467" spans="1:68">
      <c r="A467">
        <v>466</v>
      </c>
      <c r="B467" t="s">
        <v>270</v>
      </c>
      <c r="C467" s="1">
        <v>2032401199</v>
      </c>
      <c r="D467" t="s">
        <v>280</v>
      </c>
      <c r="E467">
        <f>COUNTIF($C$1:C467,C467)</f>
        <v>4</v>
      </c>
      <c r="F467" t="str">
        <f t="shared" si="122"/>
        <v>20324011994</v>
      </c>
      <c r="G467">
        <f t="shared" si="118"/>
        <v>1</v>
      </c>
      <c r="H467">
        <f t="shared" si="119"/>
        <v>0</v>
      </c>
      <c r="I467"/>
      <c r="AV467">
        <v>466</v>
      </c>
      <c r="AW467" t="s">
        <v>270</v>
      </c>
      <c r="BM467">
        <v>466</v>
      </c>
      <c r="BN467" t="s">
        <v>270</v>
      </c>
      <c r="BO467" t="str">
        <f t="shared" si="123"/>
        <v>Iza (amiga do juca) pg</v>
      </c>
      <c r="BP467" t="b">
        <f t="shared" si="124"/>
        <v>1</v>
      </c>
    </row>
    <row r="468" spans="1:68">
      <c r="A468">
        <v>467</v>
      </c>
      <c r="B468" t="s">
        <v>392</v>
      </c>
      <c r="C468" s="1">
        <v>9147740936</v>
      </c>
      <c r="D468" t="s">
        <v>280</v>
      </c>
      <c r="E468">
        <f>COUNTIF($C$1:C468,C468)</f>
        <v>3</v>
      </c>
      <c r="F468" t="str">
        <f t="shared" si="122"/>
        <v>91477409363</v>
      </c>
      <c r="G468">
        <f t="shared" si="118"/>
        <v>0</v>
      </c>
      <c r="H468">
        <f t="shared" si="119"/>
        <v>1</v>
      </c>
      <c r="I468" s="12"/>
      <c r="J468" s="12"/>
      <c r="K468" s="12"/>
      <c r="L468" s="12"/>
      <c r="M468" s="12"/>
      <c r="AV468">
        <v>467</v>
      </c>
      <c r="AW468" t="s">
        <v>271</v>
      </c>
      <c r="BM468">
        <v>467</v>
      </c>
      <c r="BN468" t="s">
        <v>271</v>
      </c>
      <c r="BO468" t="str">
        <f t="shared" si="123"/>
        <v>Gustavo freitas (f)</v>
      </c>
      <c r="BP468" t="b">
        <v>1</v>
      </c>
    </row>
    <row r="469" spans="1:68">
      <c r="A469">
        <v>468</v>
      </c>
      <c r="E469">
        <f>COUNTIF($C$1:C469,C469)</f>
        <v>0</v>
      </c>
      <c r="F469" t="str">
        <f t="shared" si="122"/>
        <v>0</v>
      </c>
      <c r="G469">
        <f t="shared" si="118"/>
        <v>0</v>
      </c>
      <c r="H469">
        <f t="shared" si="119"/>
        <v>0</v>
      </c>
      <c r="I469"/>
      <c r="AV469">
        <v>468</v>
      </c>
      <c r="BM469">
        <v>468</v>
      </c>
      <c r="BO469">
        <f t="shared" si="123"/>
        <v>0</v>
      </c>
      <c r="BP469" t="b">
        <f t="shared" ref="BP469:BP483" si="125">BO469=BN469</f>
        <v>1</v>
      </c>
    </row>
    <row r="470" spans="1:68">
      <c r="A470">
        <v>469</v>
      </c>
      <c r="E470">
        <f>COUNTIF($C$1:C470,C470)</f>
        <v>0</v>
      </c>
      <c r="F470" t="str">
        <f t="shared" si="122"/>
        <v>0</v>
      </c>
      <c r="G470">
        <f t="shared" si="118"/>
        <v>0</v>
      </c>
      <c r="H470">
        <f t="shared" si="119"/>
        <v>0</v>
      </c>
      <c r="I470"/>
      <c r="AV470">
        <v>469</v>
      </c>
      <c r="BM470">
        <v>469</v>
      </c>
      <c r="BO470">
        <f t="shared" si="123"/>
        <v>0</v>
      </c>
      <c r="BP470" t="b">
        <f t="shared" si="125"/>
        <v>1</v>
      </c>
    </row>
    <row r="471" spans="1:68">
      <c r="A471">
        <v>470</v>
      </c>
      <c r="B471" t="s">
        <v>40</v>
      </c>
      <c r="C471" s="1">
        <v>2032122279</v>
      </c>
      <c r="D471" t="s">
        <v>280</v>
      </c>
      <c r="E471">
        <f>COUNTIF($C$1:C471,C471)</f>
        <v>2</v>
      </c>
      <c r="F471" t="str">
        <f t="shared" si="122"/>
        <v>20321222792</v>
      </c>
      <c r="G471">
        <f t="shared" si="118"/>
        <v>0</v>
      </c>
      <c r="H471">
        <f t="shared" si="119"/>
        <v>0</v>
      </c>
      <c r="I471"/>
      <c r="AV471">
        <v>470</v>
      </c>
      <c r="AW471" t="s">
        <v>40</v>
      </c>
      <c r="BM471">
        <v>470</v>
      </c>
      <c r="BN471" t="s">
        <v>40</v>
      </c>
      <c r="BO471" t="str">
        <f t="shared" si="123"/>
        <v>JEREMIAS COSTA</v>
      </c>
      <c r="BP471" t="b">
        <f t="shared" si="125"/>
        <v>1</v>
      </c>
    </row>
    <row r="472" spans="1:68">
      <c r="A472">
        <v>471</v>
      </c>
      <c r="E472">
        <f>COUNTIF($C$1:C472,C472)</f>
        <v>0</v>
      </c>
      <c r="F472" t="str">
        <f t="shared" si="122"/>
        <v>0</v>
      </c>
      <c r="G472">
        <f t="shared" si="118"/>
        <v>0</v>
      </c>
      <c r="H472">
        <f t="shared" si="119"/>
        <v>0</v>
      </c>
      <c r="I472"/>
      <c r="AV472">
        <v>471</v>
      </c>
      <c r="BM472">
        <v>471</v>
      </c>
      <c r="BO472">
        <f t="shared" si="123"/>
        <v>0</v>
      </c>
      <c r="BP472" t="b">
        <f t="shared" si="125"/>
        <v>1</v>
      </c>
    </row>
    <row r="473" spans="1:68">
      <c r="A473">
        <v>472</v>
      </c>
      <c r="E473">
        <f>COUNTIF($C$1:C473,C473)</f>
        <v>0</v>
      </c>
      <c r="F473" t="str">
        <f t="shared" si="122"/>
        <v>0</v>
      </c>
      <c r="G473">
        <f t="shared" si="118"/>
        <v>0</v>
      </c>
      <c r="H473">
        <f t="shared" si="119"/>
        <v>0</v>
      </c>
      <c r="I473"/>
      <c r="AV473">
        <v>472</v>
      </c>
      <c r="BM473">
        <v>472</v>
      </c>
      <c r="BO473">
        <f t="shared" si="123"/>
        <v>0</v>
      </c>
      <c r="BP473" t="b">
        <f t="shared" si="125"/>
        <v>1</v>
      </c>
    </row>
    <row r="474" spans="1:68">
      <c r="A474">
        <v>473</v>
      </c>
      <c r="E474">
        <f>COUNTIF($C$1:C474,C474)</f>
        <v>0</v>
      </c>
      <c r="F474" t="str">
        <f t="shared" si="122"/>
        <v>0</v>
      </c>
      <c r="G474">
        <f t="shared" si="118"/>
        <v>0</v>
      </c>
      <c r="H474">
        <f t="shared" si="119"/>
        <v>0</v>
      </c>
      <c r="I474"/>
      <c r="AV474">
        <v>473</v>
      </c>
      <c r="BM474">
        <v>473</v>
      </c>
      <c r="BO474">
        <f t="shared" si="123"/>
        <v>0</v>
      </c>
      <c r="BP474" t="b">
        <f t="shared" si="125"/>
        <v>1</v>
      </c>
    </row>
    <row r="475" spans="1:68">
      <c r="A475">
        <v>474</v>
      </c>
      <c r="E475">
        <f>COUNTIF($C$1:C475,C475)</f>
        <v>0</v>
      </c>
      <c r="F475" t="str">
        <f t="shared" si="122"/>
        <v>0</v>
      </c>
      <c r="G475">
        <f t="shared" si="118"/>
        <v>0</v>
      </c>
      <c r="H475">
        <f t="shared" si="119"/>
        <v>0</v>
      </c>
      <c r="I475"/>
      <c r="AV475">
        <v>474</v>
      </c>
      <c r="BM475">
        <v>474</v>
      </c>
      <c r="BO475">
        <f t="shared" si="123"/>
        <v>0</v>
      </c>
      <c r="BP475" t="b">
        <f t="shared" si="125"/>
        <v>1</v>
      </c>
    </row>
    <row r="476" spans="1:68">
      <c r="A476">
        <v>475</v>
      </c>
      <c r="B476" t="s">
        <v>272</v>
      </c>
      <c r="C476" s="1">
        <v>2032283876</v>
      </c>
      <c r="D476" t="s">
        <v>280</v>
      </c>
      <c r="E476">
        <f>COUNTIF($C$1:C476,C476)</f>
        <v>1</v>
      </c>
      <c r="F476" t="str">
        <f t="shared" si="122"/>
        <v>20322838761</v>
      </c>
      <c r="G476">
        <f t="shared" si="118"/>
        <v>1</v>
      </c>
      <c r="H476">
        <f t="shared" si="119"/>
        <v>0</v>
      </c>
      <c r="I476"/>
      <c r="AV476">
        <v>475</v>
      </c>
      <c r="AW476" t="s">
        <v>272</v>
      </c>
      <c r="BM476">
        <v>475</v>
      </c>
      <c r="BN476" t="s">
        <v>272</v>
      </c>
      <c r="BO476" t="str">
        <f t="shared" si="123"/>
        <v>Junior cabra bom pg</v>
      </c>
      <c r="BP476" t="b">
        <f t="shared" si="125"/>
        <v>1</v>
      </c>
    </row>
    <row r="477" spans="1:68">
      <c r="A477">
        <v>476</v>
      </c>
      <c r="E477">
        <f>COUNTIF($C$1:C477,C477)</f>
        <v>0</v>
      </c>
      <c r="F477" t="str">
        <f t="shared" si="122"/>
        <v>0</v>
      </c>
      <c r="G477">
        <f t="shared" si="118"/>
        <v>0</v>
      </c>
      <c r="H477">
        <f t="shared" si="119"/>
        <v>0</v>
      </c>
      <c r="I477"/>
      <c r="AV477">
        <v>476</v>
      </c>
      <c r="BM477">
        <v>476</v>
      </c>
      <c r="BO477">
        <f t="shared" si="123"/>
        <v>0</v>
      </c>
      <c r="BP477" t="b">
        <f t="shared" si="125"/>
        <v>1</v>
      </c>
    </row>
    <row r="478" spans="1:68">
      <c r="A478">
        <v>477</v>
      </c>
      <c r="B478" t="s">
        <v>350</v>
      </c>
      <c r="C478" s="1">
        <v>2035450805</v>
      </c>
      <c r="D478" t="s">
        <v>280</v>
      </c>
      <c r="E478">
        <f>COUNTIF($C$1:C478,C478)</f>
        <v>2</v>
      </c>
      <c r="F478" t="str">
        <f t="shared" si="122"/>
        <v>20354508052</v>
      </c>
      <c r="G478">
        <f t="shared" si="118"/>
        <v>1</v>
      </c>
      <c r="H478">
        <f t="shared" si="119"/>
        <v>0</v>
      </c>
      <c r="I478" s="12"/>
      <c r="J478" s="12"/>
      <c r="K478" s="12"/>
      <c r="L478" s="12"/>
      <c r="M478" s="12"/>
      <c r="AV478">
        <v>477</v>
      </c>
      <c r="AW478" t="s">
        <v>214</v>
      </c>
      <c r="BM478">
        <v>477</v>
      </c>
      <c r="BN478" t="s">
        <v>214</v>
      </c>
      <c r="BO478" t="str">
        <f t="shared" si="123"/>
        <v>DEMI pg</v>
      </c>
      <c r="BP478" t="b">
        <f t="shared" si="125"/>
        <v>0</v>
      </c>
    </row>
    <row r="479" spans="1:68">
      <c r="A479">
        <v>478</v>
      </c>
      <c r="B479" t="s">
        <v>40</v>
      </c>
      <c r="C479" s="1">
        <v>2032122279</v>
      </c>
      <c r="D479" t="s">
        <v>280</v>
      </c>
      <c r="E479">
        <f>COUNTIF($C$1:C479,C479)</f>
        <v>3</v>
      </c>
      <c r="F479" t="str">
        <f t="shared" si="122"/>
        <v>20321222793</v>
      </c>
      <c r="G479">
        <f t="shared" si="118"/>
        <v>0</v>
      </c>
      <c r="H479">
        <f t="shared" si="119"/>
        <v>0</v>
      </c>
      <c r="I479"/>
      <c r="AV479">
        <v>478</v>
      </c>
      <c r="AW479" t="s">
        <v>40</v>
      </c>
      <c r="BM479">
        <v>478</v>
      </c>
      <c r="BN479" t="s">
        <v>40</v>
      </c>
      <c r="BO479" t="str">
        <f t="shared" si="123"/>
        <v>JEREMIAS COSTA</v>
      </c>
      <c r="BP479" t="b">
        <f t="shared" si="125"/>
        <v>1</v>
      </c>
    </row>
    <row r="480" spans="1:68">
      <c r="A480">
        <v>479</v>
      </c>
      <c r="E480">
        <f>COUNTIF($C$1:C480,C480)</f>
        <v>0</v>
      </c>
      <c r="F480" t="str">
        <f t="shared" si="122"/>
        <v>0</v>
      </c>
      <c r="G480">
        <f t="shared" si="118"/>
        <v>0</v>
      </c>
      <c r="H480">
        <f t="shared" si="119"/>
        <v>0</v>
      </c>
      <c r="I480"/>
      <c r="AV480">
        <v>479</v>
      </c>
      <c r="BM480">
        <v>479</v>
      </c>
      <c r="BO480">
        <f t="shared" si="123"/>
        <v>0</v>
      </c>
      <c r="BP480" t="b">
        <f t="shared" si="125"/>
        <v>1</v>
      </c>
    </row>
    <row r="481" spans="1:68">
      <c r="A481">
        <v>480</v>
      </c>
      <c r="B481" t="s">
        <v>232</v>
      </c>
      <c r="C481" s="1">
        <v>9148043987</v>
      </c>
      <c r="D481" t="s">
        <v>280</v>
      </c>
      <c r="E481">
        <f>COUNTIF($C$1:C481,C481)</f>
        <v>2</v>
      </c>
      <c r="F481" t="str">
        <f t="shared" si="122"/>
        <v>91480439872</v>
      </c>
      <c r="G481">
        <f t="shared" si="118"/>
        <v>0</v>
      </c>
      <c r="H481">
        <f t="shared" si="119"/>
        <v>0</v>
      </c>
      <c r="I481"/>
      <c r="AV481">
        <v>480</v>
      </c>
      <c r="AW481" t="s">
        <v>232</v>
      </c>
      <c r="BM481">
        <v>480</v>
      </c>
      <c r="BN481" t="s">
        <v>232</v>
      </c>
      <c r="BO481" t="str">
        <f t="shared" si="123"/>
        <v>WEC</v>
      </c>
      <c r="BP481" t="b">
        <f t="shared" si="125"/>
        <v>1</v>
      </c>
    </row>
    <row r="482" spans="1:68">
      <c r="A482">
        <v>481</v>
      </c>
      <c r="E482">
        <f>COUNTIF($C$1:C482,C482)</f>
        <v>0</v>
      </c>
      <c r="F482" t="str">
        <f t="shared" si="122"/>
        <v>0</v>
      </c>
      <c r="G482">
        <f t="shared" si="118"/>
        <v>0</v>
      </c>
      <c r="H482">
        <f t="shared" si="119"/>
        <v>0</v>
      </c>
      <c r="I482"/>
      <c r="AV482">
        <v>481</v>
      </c>
      <c r="BM482">
        <v>481</v>
      </c>
      <c r="BO482">
        <f t="shared" si="123"/>
        <v>0</v>
      </c>
      <c r="BP482" t="b">
        <f t="shared" si="125"/>
        <v>1</v>
      </c>
    </row>
    <row r="483" spans="1:68">
      <c r="A483">
        <v>482</v>
      </c>
      <c r="E483">
        <f>COUNTIF($C$1:C483,C483)</f>
        <v>0</v>
      </c>
      <c r="F483" t="str">
        <f t="shared" si="122"/>
        <v>0</v>
      </c>
      <c r="G483">
        <f t="shared" si="118"/>
        <v>0</v>
      </c>
      <c r="H483">
        <f t="shared" si="119"/>
        <v>0</v>
      </c>
      <c r="I483"/>
      <c r="AV483">
        <v>482</v>
      </c>
      <c r="BM483">
        <v>482</v>
      </c>
      <c r="BO483">
        <f t="shared" si="123"/>
        <v>0</v>
      </c>
      <c r="BP483" t="b">
        <f t="shared" si="125"/>
        <v>1</v>
      </c>
    </row>
    <row r="484" spans="1:68">
      <c r="A484">
        <v>483</v>
      </c>
      <c r="B484" t="s">
        <v>341</v>
      </c>
      <c r="C484" s="1">
        <v>2033216644</v>
      </c>
      <c r="D484" t="s">
        <v>280</v>
      </c>
      <c r="E484">
        <f>COUNTIF($C$1:C484,C484)</f>
        <v>1</v>
      </c>
      <c r="F484" t="str">
        <f t="shared" si="122"/>
        <v>20332166441</v>
      </c>
      <c r="G484">
        <f t="shared" si="118"/>
        <v>1</v>
      </c>
      <c r="H484">
        <f t="shared" si="119"/>
        <v>0</v>
      </c>
      <c r="I484" s="12"/>
      <c r="J484" s="12"/>
      <c r="K484" s="12"/>
      <c r="L484" s="12"/>
      <c r="M484" s="12"/>
      <c r="AV484">
        <v>483</v>
      </c>
      <c r="AW484" t="s">
        <v>273</v>
      </c>
      <c r="BM484">
        <v>483</v>
      </c>
      <c r="BN484" t="s">
        <v>273</v>
      </c>
      <c r="BO484" t="str">
        <f t="shared" si="123"/>
        <v>Fábio Verizon pg</v>
      </c>
      <c r="BP484" t="b">
        <v>1</v>
      </c>
    </row>
    <row r="485" spans="1:68">
      <c r="A485">
        <v>484</v>
      </c>
      <c r="E485">
        <f>COUNTIF($C$1:C485,C485)</f>
        <v>0</v>
      </c>
      <c r="F485" t="str">
        <f t="shared" si="122"/>
        <v>0</v>
      </c>
      <c r="G485">
        <f t="shared" si="118"/>
        <v>0</v>
      </c>
      <c r="H485">
        <f t="shared" si="119"/>
        <v>0</v>
      </c>
      <c r="I485"/>
      <c r="AV485">
        <v>484</v>
      </c>
      <c r="BM485">
        <v>484</v>
      </c>
      <c r="BO485">
        <f t="shared" si="123"/>
        <v>0</v>
      </c>
      <c r="BP485" t="b">
        <f t="shared" ref="BP485:BP490" si="126">BO485=BN485</f>
        <v>1</v>
      </c>
    </row>
    <row r="486" spans="1:68">
      <c r="A486">
        <v>485</v>
      </c>
      <c r="B486" t="s">
        <v>274</v>
      </c>
      <c r="C486" s="1">
        <v>2035221446</v>
      </c>
      <c r="D486" t="s">
        <v>280</v>
      </c>
      <c r="E486">
        <f>COUNTIF($C$1:C486,C486)</f>
        <v>2</v>
      </c>
      <c r="F486" t="str">
        <f t="shared" si="122"/>
        <v>20352214462</v>
      </c>
      <c r="G486">
        <f t="shared" si="118"/>
        <v>0</v>
      </c>
      <c r="H486">
        <f t="shared" si="119"/>
        <v>0</v>
      </c>
      <c r="I486" s="12"/>
      <c r="J486" s="12"/>
      <c r="K486" s="12"/>
      <c r="L486" s="12"/>
      <c r="M486" s="12"/>
      <c r="AV486">
        <v>485</v>
      </c>
      <c r="AW486" t="s">
        <v>274</v>
      </c>
      <c r="BM486">
        <v>485</v>
      </c>
      <c r="BN486" t="s">
        <v>274</v>
      </c>
      <c r="BO486" t="str">
        <f t="shared" si="123"/>
        <v>FABIO PIVA</v>
      </c>
      <c r="BP486" t="b">
        <f t="shared" si="126"/>
        <v>1</v>
      </c>
    </row>
    <row r="487" spans="1:68">
      <c r="A487">
        <v>486</v>
      </c>
      <c r="B487" t="s">
        <v>275</v>
      </c>
      <c r="C487" s="1">
        <v>9148043987</v>
      </c>
      <c r="D487" t="s">
        <v>280</v>
      </c>
      <c r="E487">
        <f>COUNTIF($C$1:C487,C487)</f>
        <v>3</v>
      </c>
      <c r="F487" t="str">
        <f t="shared" si="122"/>
        <v>91480439873</v>
      </c>
      <c r="G487">
        <f t="shared" si="118"/>
        <v>0</v>
      </c>
      <c r="H487">
        <f t="shared" si="119"/>
        <v>0</v>
      </c>
      <c r="I487"/>
      <c r="AV487">
        <v>486</v>
      </c>
      <c r="AW487" t="s">
        <v>275</v>
      </c>
      <c r="BM487">
        <v>486</v>
      </c>
      <c r="BN487" t="s">
        <v>275</v>
      </c>
      <c r="BO487" t="str">
        <f t="shared" si="123"/>
        <v>We</v>
      </c>
      <c r="BP487" t="b">
        <f t="shared" si="126"/>
        <v>1</v>
      </c>
    </row>
    <row r="488" spans="1:68">
      <c r="A488">
        <v>487</v>
      </c>
      <c r="B488" t="s">
        <v>393</v>
      </c>
      <c r="C488" s="1">
        <v>9148302799</v>
      </c>
      <c r="D488" t="s">
        <v>280</v>
      </c>
      <c r="E488">
        <f>COUNTIF($C$1:C488,C488)</f>
        <v>4</v>
      </c>
      <c r="F488" t="str">
        <f t="shared" si="122"/>
        <v>91483027994</v>
      </c>
      <c r="G488">
        <f t="shared" ref="G488:G501" si="127">IF(IFERROR(FIND("pg",LOWER(B488)),0)=0,0,1)</f>
        <v>0</v>
      </c>
      <c r="H488">
        <f t="shared" ref="H488:H501" si="128">IF(IFERROR(FIND("(f)",LOWER(B488)),0)=0,0,1)</f>
        <v>1</v>
      </c>
      <c r="I488"/>
      <c r="AV488">
        <v>487</v>
      </c>
      <c r="AW488" t="s">
        <v>276</v>
      </c>
      <c r="BM488">
        <v>487</v>
      </c>
      <c r="BN488" t="s">
        <v>276</v>
      </c>
      <c r="BO488" t="str">
        <f t="shared" si="123"/>
        <v>Ronan (Empire home solution) (f)</v>
      </c>
      <c r="BP488" t="b">
        <f t="shared" si="126"/>
        <v>0</v>
      </c>
    </row>
    <row r="489" spans="1:68">
      <c r="A489">
        <v>488</v>
      </c>
      <c r="B489" t="s">
        <v>394</v>
      </c>
      <c r="C489" s="1">
        <v>9146095697</v>
      </c>
      <c r="D489" t="s">
        <v>280</v>
      </c>
      <c r="E489">
        <f>COUNTIF($C$1:C489,C489)</f>
        <v>6</v>
      </c>
      <c r="F489" t="str">
        <f t="shared" si="122"/>
        <v>91460956976</v>
      </c>
      <c r="G489">
        <f t="shared" si="127"/>
        <v>0</v>
      </c>
      <c r="H489">
        <f t="shared" si="128"/>
        <v>1</v>
      </c>
      <c r="I489"/>
      <c r="AV489">
        <v>488</v>
      </c>
      <c r="AW489" t="s">
        <v>277</v>
      </c>
      <c r="BM489">
        <v>488</v>
      </c>
      <c r="BN489" t="s">
        <v>277</v>
      </c>
      <c r="BO489" t="str">
        <f t="shared" si="123"/>
        <v>L&amp;m wood floor (f)</v>
      </c>
      <c r="BP489" t="b">
        <f t="shared" si="126"/>
        <v>0</v>
      </c>
    </row>
    <row r="490" spans="1:68">
      <c r="A490">
        <v>489</v>
      </c>
      <c r="E490">
        <f>COUNTIF($C$1:C490,C490)</f>
        <v>0</v>
      </c>
      <c r="F490" t="str">
        <f t="shared" si="122"/>
        <v>0</v>
      </c>
      <c r="G490">
        <f t="shared" si="127"/>
        <v>0</v>
      </c>
      <c r="H490">
        <f t="shared" si="128"/>
        <v>0</v>
      </c>
      <c r="I490"/>
      <c r="AV490">
        <v>489</v>
      </c>
      <c r="BM490">
        <v>489</v>
      </c>
      <c r="BO490">
        <f t="shared" si="123"/>
        <v>0</v>
      </c>
      <c r="BP490" t="b">
        <f t="shared" si="126"/>
        <v>1</v>
      </c>
    </row>
    <row r="491" spans="1:68">
      <c r="A491">
        <v>490</v>
      </c>
      <c r="B491" t="s">
        <v>328</v>
      </c>
      <c r="C491" s="1">
        <v>9143569767</v>
      </c>
      <c r="D491" t="s">
        <v>280</v>
      </c>
      <c r="E491">
        <f>COUNTIF($C$1:C491,C491)</f>
        <v>3</v>
      </c>
      <c r="F491" t="str">
        <f t="shared" si="122"/>
        <v>91435697673</v>
      </c>
      <c r="G491">
        <f t="shared" si="127"/>
        <v>1</v>
      </c>
      <c r="H491">
        <f t="shared" si="128"/>
        <v>0</v>
      </c>
      <c r="I491" s="12"/>
      <c r="J491" s="12"/>
      <c r="K491" s="12"/>
      <c r="L491" s="12"/>
      <c r="M491" s="12"/>
      <c r="AV491">
        <v>490</v>
      </c>
      <c r="AW491" t="s">
        <v>118</v>
      </c>
      <c r="BM491">
        <v>490</v>
      </c>
      <c r="BN491" t="s">
        <v>118</v>
      </c>
      <c r="BO491" t="str">
        <f t="shared" si="123"/>
        <v>Eduardo tile pg</v>
      </c>
      <c r="BP491" t="b">
        <v>1</v>
      </c>
    </row>
    <row r="492" spans="1:68">
      <c r="A492">
        <v>491</v>
      </c>
      <c r="B492" t="s">
        <v>124</v>
      </c>
      <c r="C492" s="1">
        <v>9144269391</v>
      </c>
      <c r="D492" t="s">
        <v>280</v>
      </c>
      <c r="E492">
        <f>COUNTIF($C$1:C492,C492)</f>
        <v>4</v>
      </c>
      <c r="F492" t="str">
        <f t="shared" si="122"/>
        <v>91442693914</v>
      </c>
      <c r="G492">
        <f t="shared" si="127"/>
        <v>0</v>
      </c>
      <c r="H492">
        <f t="shared" si="128"/>
        <v>0</v>
      </c>
      <c r="I492"/>
      <c r="AV492">
        <v>491</v>
      </c>
      <c r="AW492" t="s">
        <v>124</v>
      </c>
      <c r="BM492">
        <v>491</v>
      </c>
      <c r="BN492" t="s">
        <v>124</v>
      </c>
      <c r="BO492" t="str">
        <f t="shared" si="123"/>
        <v>Wellington Santana</v>
      </c>
      <c r="BP492" t="b">
        <f>BO492=BN492</f>
        <v>1</v>
      </c>
    </row>
    <row r="493" spans="1:68">
      <c r="A493">
        <v>492</v>
      </c>
      <c r="E493">
        <f>COUNTIF($C$1:C493,C493)</f>
        <v>0</v>
      </c>
      <c r="F493" t="str">
        <f t="shared" si="122"/>
        <v>0</v>
      </c>
      <c r="G493">
        <f t="shared" si="127"/>
        <v>0</v>
      </c>
      <c r="H493">
        <f t="shared" si="128"/>
        <v>0</v>
      </c>
      <c r="I493"/>
      <c r="AV493">
        <v>492</v>
      </c>
      <c r="BM493">
        <v>492</v>
      </c>
      <c r="BO493">
        <f t="shared" si="123"/>
        <v>0</v>
      </c>
      <c r="BP493" t="b">
        <f>BO493=BN493</f>
        <v>1</v>
      </c>
    </row>
    <row r="494" spans="1:68">
      <c r="A494">
        <v>493</v>
      </c>
      <c r="B494" t="s">
        <v>395</v>
      </c>
      <c r="D494" t="s">
        <v>281</v>
      </c>
      <c r="E494">
        <f>COUNTIF($C$1:C494,C494)</f>
        <v>0</v>
      </c>
      <c r="F494" t="str">
        <f t="shared" si="122"/>
        <v>0</v>
      </c>
      <c r="G494">
        <f t="shared" si="127"/>
        <v>0</v>
      </c>
      <c r="H494">
        <f t="shared" si="128"/>
        <v>1</v>
      </c>
      <c r="I494"/>
      <c r="AV494">
        <v>493</v>
      </c>
      <c r="AW494" t="s">
        <v>278</v>
      </c>
      <c r="BM494">
        <v>493</v>
      </c>
      <c r="BN494" t="s">
        <v>278</v>
      </c>
      <c r="BO494" t="str">
        <f t="shared" si="123"/>
        <v>Júlio César (f)</v>
      </c>
      <c r="BP494" t="b">
        <f>BO494=BN494</f>
        <v>0</v>
      </c>
    </row>
    <row r="495" spans="1:68">
      <c r="A495">
        <v>494</v>
      </c>
      <c r="E495">
        <f>COUNTIF($C$1:C495,C495)</f>
        <v>0</v>
      </c>
      <c r="F495" t="str">
        <f t="shared" si="122"/>
        <v>0</v>
      </c>
      <c r="G495">
        <f t="shared" si="127"/>
        <v>0</v>
      </c>
      <c r="H495">
        <f t="shared" si="128"/>
        <v>0</v>
      </c>
      <c r="I495"/>
      <c r="AV495">
        <v>494</v>
      </c>
      <c r="BM495">
        <v>494</v>
      </c>
      <c r="BO495">
        <f t="shared" si="123"/>
        <v>0</v>
      </c>
      <c r="BP495" t="b">
        <f>BO495=BN495</f>
        <v>1</v>
      </c>
    </row>
    <row r="496" spans="1:68">
      <c r="A496">
        <v>495</v>
      </c>
      <c r="B496" t="s">
        <v>300</v>
      </c>
      <c r="C496" s="1">
        <v>2038085888</v>
      </c>
      <c r="D496" t="s">
        <v>280</v>
      </c>
      <c r="E496">
        <f>COUNTIF($C$1:C496,C496)</f>
        <v>2</v>
      </c>
      <c r="F496" t="str">
        <f t="shared" si="122"/>
        <v>20380858882</v>
      </c>
      <c r="G496">
        <f t="shared" si="127"/>
        <v>1</v>
      </c>
      <c r="H496">
        <f t="shared" si="128"/>
        <v>0</v>
      </c>
      <c r="I496"/>
      <c r="AV496">
        <v>495</v>
      </c>
      <c r="AW496" t="s">
        <v>140</v>
      </c>
      <c r="BM496">
        <v>495</v>
      </c>
      <c r="BN496" t="s">
        <v>140</v>
      </c>
      <c r="BO496" t="str">
        <f t="shared" si="123"/>
        <v>JOSE CARLOS pg</v>
      </c>
      <c r="BP496" t="b">
        <v>1</v>
      </c>
    </row>
    <row r="497" spans="1:68">
      <c r="A497">
        <v>496</v>
      </c>
      <c r="E497">
        <f>COUNTIF($C$1:C497,C497)</f>
        <v>0</v>
      </c>
      <c r="F497" t="str">
        <f t="shared" si="122"/>
        <v>0</v>
      </c>
      <c r="G497">
        <f t="shared" si="127"/>
        <v>0</v>
      </c>
      <c r="H497">
        <f t="shared" si="128"/>
        <v>0</v>
      </c>
      <c r="I497"/>
      <c r="AV497">
        <v>496</v>
      </c>
      <c r="BM497">
        <v>496</v>
      </c>
      <c r="BO497">
        <f t="shared" si="123"/>
        <v>0</v>
      </c>
      <c r="BP497" t="b">
        <f>BO497=BN497</f>
        <v>1</v>
      </c>
    </row>
    <row r="498" spans="1:68">
      <c r="A498">
        <v>497</v>
      </c>
      <c r="B498" t="s">
        <v>307</v>
      </c>
      <c r="C498" s="1">
        <v>4754496806</v>
      </c>
      <c r="D498" t="s">
        <v>280</v>
      </c>
      <c r="E498">
        <f>COUNTIF($C$1:C498,C498)</f>
        <v>3</v>
      </c>
      <c r="F498" t="str">
        <f t="shared" si="122"/>
        <v>47544968063</v>
      </c>
      <c r="G498">
        <f t="shared" si="127"/>
        <v>1</v>
      </c>
      <c r="H498">
        <f t="shared" si="128"/>
        <v>0</v>
      </c>
      <c r="I498" s="12"/>
      <c r="J498" s="12"/>
      <c r="K498" s="12"/>
      <c r="L498" s="12"/>
      <c r="M498" s="12"/>
      <c r="AV498">
        <v>497</v>
      </c>
      <c r="AW498" t="s">
        <v>262</v>
      </c>
      <c r="BM498">
        <v>497</v>
      </c>
      <c r="BN498" t="s">
        <v>262</v>
      </c>
      <c r="BO498" t="str">
        <f t="shared" si="123"/>
        <v>ADILSON pg</v>
      </c>
      <c r="BP498" t="b">
        <v>1</v>
      </c>
    </row>
    <row r="499" spans="1:68">
      <c r="A499">
        <v>498</v>
      </c>
      <c r="E499">
        <f>COUNTIF($C$1:C499,C499)</f>
        <v>0</v>
      </c>
      <c r="F499" t="str">
        <f t="shared" si="122"/>
        <v>0</v>
      </c>
      <c r="G499">
        <f t="shared" si="127"/>
        <v>0</v>
      </c>
      <c r="H499">
        <f t="shared" si="128"/>
        <v>0</v>
      </c>
      <c r="I499"/>
      <c r="AV499">
        <v>498</v>
      </c>
      <c r="BM499">
        <v>498</v>
      </c>
      <c r="BO499">
        <f t="shared" si="123"/>
        <v>0</v>
      </c>
      <c r="BP499" t="b">
        <f>BO499=BN499</f>
        <v>1</v>
      </c>
    </row>
    <row r="500" spans="1:68">
      <c r="A500">
        <v>499</v>
      </c>
      <c r="B500" t="s">
        <v>144</v>
      </c>
      <c r="C500" s="1">
        <v>9148048287</v>
      </c>
      <c r="D500" t="s">
        <v>280</v>
      </c>
      <c r="E500">
        <f>COUNTIF($C$1:C500,C500)</f>
        <v>2</v>
      </c>
      <c r="F500" t="str">
        <f t="shared" si="122"/>
        <v>91480482872</v>
      </c>
      <c r="G500">
        <f t="shared" si="127"/>
        <v>0</v>
      </c>
      <c r="H500">
        <f t="shared" si="128"/>
        <v>0</v>
      </c>
      <c r="I500"/>
      <c r="AV500">
        <v>499</v>
      </c>
      <c r="AW500" t="s">
        <v>144</v>
      </c>
      <c r="BM500">
        <v>499</v>
      </c>
      <c r="BN500" t="s">
        <v>144</v>
      </c>
      <c r="BO500" t="str">
        <f t="shared" si="123"/>
        <v>TIA VERA</v>
      </c>
      <c r="BP500" t="b">
        <f>BO500=BN500</f>
        <v>1</v>
      </c>
    </row>
    <row r="501" spans="1:68">
      <c r="A501">
        <v>500</v>
      </c>
      <c r="B501" t="s">
        <v>20</v>
      </c>
      <c r="C501" s="1">
        <v>2033490246</v>
      </c>
      <c r="D501" t="s">
        <v>280</v>
      </c>
      <c r="E501">
        <f>COUNTIF($C$1:C501,C501)</f>
        <v>5</v>
      </c>
      <c r="F501" t="str">
        <f t="shared" si="122"/>
        <v>20334902465</v>
      </c>
      <c r="G501">
        <f t="shared" si="127"/>
        <v>1</v>
      </c>
      <c r="H501">
        <f t="shared" si="128"/>
        <v>0</v>
      </c>
      <c r="I501"/>
      <c r="AV501">
        <v>500</v>
      </c>
      <c r="AW501" t="s">
        <v>20</v>
      </c>
      <c r="BM501">
        <v>500</v>
      </c>
      <c r="BN501" t="s">
        <v>20</v>
      </c>
      <c r="BO501" t="str">
        <f t="shared" si="123"/>
        <v>SOLON pg</v>
      </c>
      <c r="BP501" t="b">
        <f>BO501=BN501</f>
        <v>1</v>
      </c>
    </row>
    <row r="502" spans="1:68">
      <c r="B502" s="8" t="s">
        <v>322</v>
      </c>
      <c r="I502" s="12"/>
      <c r="J502" s="12"/>
      <c r="K502" s="12"/>
      <c r="L502" s="12"/>
      <c r="M502" s="12"/>
    </row>
    <row r="503" spans="1:68">
      <c r="I503"/>
    </row>
    <row r="504" spans="1:68">
      <c r="I504"/>
    </row>
    <row r="505" spans="1:68">
      <c r="I505"/>
    </row>
    <row r="506" spans="1:68">
      <c r="I506"/>
    </row>
    <row r="507" spans="1:68">
      <c r="I507"/>
    </row>
    <row r="508" spans="1:68">
      <c r="I508"/>
    </row>
    <row r="509" spans="1:68">
      <c r="I509"/>
    </row>
    <row r="510" spans="1:68">
      <c r="I510"/>
    </row>
    <row r="511" spans="1:68">
      <c r="I511"/>
    </row>
    <row r="512" spans="1:68">
      <c r="I512"/>
    </row>
    <row r="513" spans="9:9">
      <c r="I513"/>
    </row>
    <row r="514" spans="9:9">
      <c r="I514"/>
    </row>
    <row r="515" spans="9:9">
      <c r="I515"/>
    </row>
    <row r="516" spans="9:9">
      <c r="I516"/>
    </row>
    <row r="517" spans="9:9">
      <c r="I517"/>
    </row>
    <row r="518" spans="9:9">
      <c r="I518"/>
    </row>
    <row r="519" spans="9:9">
      <c r="I519"/>
    </row>
    <row r="520" spans="9:9">
      <c r="I520"/>
    </row>
    <row r="521" spans="9:9">
      <c r="I521"/>
    </row>
    <row r="522" spans="9:9">
      <c r="I522"/>
    </row>
    <row r="523" spans="9:9">
      <c r="I523"/>
    </row>
    <row r="524" spans="9:9">
      <c r="I524"/>
    </row>
    <row r="525" spans="9:9">
      <c r="I525"/>
    </row>
    <row r="526" spans="9:9">
      <c r="I526"/>
    </row>
    <row r="527" spans="9:9">
      <c r="I527"/>
    </row>
    <row r="528" spans="9:9">
      <c r="I528"/>
    </row>
    <row r="529" spans="9:9">
      <c r="I529"/>
    </row>
    <row r="530" spans="9:9">
      <c r="I530"/>
    </row>
    <row r="531" spans="9:9">
      <c r="I531"/>
    </row>
    <row r="532" spans="9:9">
      <c r="I532"/>
    </row>
    <row r="533" spans="9:9">
      <c r="I533"/>
    </row>
    <row r="534" spans="9:9">
      <c r="I534"/>
    </row>
    <row r="535" spans="9:9">
      <c r="I535"/>
    </row>
    <row r="536" spans="9:9">
      <c r="I536"/>
    </row>
    <row r="537" spans="9:9">
      <c r="I537"/>
    </row>
    <row r="538" spans="9:9">
      <c r="I538"/>
    </row>
    <row r="539" spans="9:9">
      <c r="I539"/>
    </row>
    <row r="540" spans="9:9">
      <c r="I540"/>
    </row>
    <row r="541" spans="9:9">
      <c r="I541"/>
    </row>
    <row r="542" spans="9:9">
      <c r="I542"/>
    </row>
    <row r="543" spans="9:9">
      <c r="I543"/>
    </row>
    <row r="544" spans="9:9">
      <c r="I544"/>
    </row>
    <row r="545" spans="1:9">
      <c r="I545"/>
    </row>
    <row r="546" spans="1:9">
      <c r="I546"/>
    </row>
    <row r="547" spans="1:9">
      <c r="I547"/>
    </row>
    <row r="548" spans="1:9">
      <c r="I548"/>
    </row>
    <row r="549" spans="1:9">
      <c r="I549"/>
    </row>
    <row r="550" spans="1:9">
      <c r="I550"/>
    </row>
    <row r="551" spans="1:9">
      <c r="A551" t="s">
        <v>279</v>
      </c>
      <c r="I551"/>
    </row>
  </sheetData>
  <pageMargins left="0.511811024" right="0.511811024" top="0.78740157499999996" bottom="0.78740157499999996" header="0.31496062000000002" footer="0.31496062000000002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opLeftCell="A134" workbookViewId="0">
      <selection activeCell="B136" sqref="B136"/>
    </sheetView>
  </sheetViews>
  <sheetFormatPr defaultRowHeight="13.8"/>
  <cols>
    <col min="1" max="1" width="14.09765625" bestFit="1" customWidth="1"/>
    <col min="5" max="5" width="40.09765625" customWidth="1"/>
  </cols>
  <sheetData>
    <row r="1" spans="1:10" ht="14.4">
      <c r="A1" s="1" t="str">
        <f>Original!I1</f>
        <v>TELEFONE</v>
      </c>
      <c r="B1" s="1" t="str">
        <f>Original!J1</f>
        <v>QTD DE NUMEROS</v>
      </c>
      <c r="C1" s="1" t="str">
        <f>Original!K1</f>
        <v>QTD PAGOS</v>
      </c>
      <c r="D1" s="1" t="str">
        <f>Original!L1</f>
        <v>NUMEROS ESCOLHIDOS</v>
      </c>
      <c r="E1" s="1" t="str">
        <f>Original!M1</f>
        <v>NOMES ESCOLHIDOS</v>
      </c>
      <c r="F1" t="s">
        <v>343</v>
      </c>
      <c r="G1" t="s">
        <v>344</v>
      </c>
      <c r="H1" t="s">
        <v>344</v>
      </c>
      <c r="I1" t="s">
        <v>345</v>
      </c>
      <c r="J1" s="1">
        <v>9143629635</v>
      </c>
    </row>
    <row r="2" spans="1:10">
      <c r="A2" s="1">
        <f>Original!I30</f>
        <v>4759884337</v>
      </c>
      <c r="B2" s="1">
        <f>Original!J30</f>
        <v>1</v>
      </c>
      <c r="C2" s="1">
        <f>Original!K30</f>
        <v>0</v>
      </c>
      <c r="D2" s="1" t="str">
        <f>Original!L30</f>
        <v>42</v>
      </c>
      <c r="E2" s="1" t="str">
        <f>Original!M30</f>
        <v>ALESSANDRO BARBOSA (LEO BAIA)</v>
      </c>
      <c r="F2" t="str">
        <f>IF(VLOOKUP(A2,Original!I:N,6,0)=0,"Já pagou","Falta pagar")</f>
        <v>Falta pagar</v>
      </c>
      <c r="G2" s="7" t="str">
        <f t="shared" ref="G2:G38" si="0">"Boa tarde boa tarde!! "&amp;IF(B2&gt;1,"Seus números da rifa são os ","Seu número da rifa é o ")&amp;D2&amp;" referente ao Carro e Jetski no primeiro lugar .O Zelle para pagamento é o 9143629635. Estou fazendo a última chamada para recolher o valor e aguardamos "&amp;"seu retorno até domingo, e caso nao consiga retornar, vamos disponibilizar os numeros na rifa. Obrigado 🙏 boa sorte 🍀 "&amp;"Caso tenha pago esses numeros, por gentileza enviar o comprovante para atualizar a lista."</f>
        <v>Boa tarde boa tarde!! Seu número da rifa é o 42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" t="str">
        <f t="shared" ref="H2:H38" si="1">SUBSTITUTE(
SUBSTITUTE(
SUBSTITUTE(
SUBSTITUTE(
SUBSTITUTE(
SUBSTITUTE(G2," ","%20"),
CHAR(10),"%0A"),
"""","%22"),
"&amp;","%26"),
":","%3A"),
"/","%2F")</f>
        <v>Boa%20tarde%20boa%20tarde!!%20Seu%20número%20da%20rifa%20é%20o%2042%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" t="str">
        <f t="shared" ref="I2:I38" si="2">"https://web.whatsapp.com/send/?phone="&amp;IF(LEFT(A2,2)="55","","1")&amp;A2&amp;"&amp;text="&amp;H2</f>
        <v>https://web.whatsapp.com/send/?phone=14759884337&amp;text=Boa%20tarde%20boa%20tarde!!%20Seu%20número%20da%20rifa%20é%20o%2042%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" spans="1:10">
      <c r="A3" s="1">
        <f>Original!I31</f>
        <v>5511992712403</v>
      </c>
      <c r="B3" s="1">
        <f>Original!J31</f>
        <v>1</v>
      </c>
      <c r="C3" s="1">
        <f>Original!K31</f>
        <v>0</v>
      </c>
      <c r="D3" s="1" t="str">
        <f>Original!L31</f>
        <v>43</v>
      </c>
      <c r="E3" s="1" t="str">
        <f>Original!M31</f>
        <v>IGOR</v>
      </c>
      <c r="F3" t="str">
        <f>IF(VLOOKUP(A3,Original!I:N,6,0)=0,"Já pagou","Falta pagar")</f>
        <v>Falta pagar</v>
      </c>
      <c r="G3" s="7" t="str">
        <f t="shared" si="0"/>
        <v>Boa tarde boa tarde!! Seu número da rifa é o 43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" t="str">
        <f t="shared" si="1"/>
        <v>Boa%20tarde%20boa%20tarde!!%20Seu%20número%20da%20rifa%20é%20o%2043%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" t="str">
        <f t="shared" si="2"/>
        <v>https://web.whatsapp.com/send/?phone=5511992712403&amp;text=Boa%20tarde%20boa%20tarde!!%20Seu%20número%20da%20rifa%20é%20o%2043%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" spans="1:10">
      <c r="A4" s="1">
        <f>Original!I32</f>
        <v>2033607352</v>
      </c>
      <c r="B4" s="1">
        <f>Original!J32</f>
        <v>3</v>
      </c>
      <c r="C4" s="1">
        <f>Original!K32</f>
        <v>0</v>
      </c>
      <c r="D4" s="1" t="str">
        <f>Original!L32</f>
        <v>28, 44, 137</v>
      </c>
      <c r="E4" s="1" t="str">
        <f>Original!M32</f>
        <v>WELVERTON ,CRISTIANO ,CRISTIANO</v>
      </c>
      <c r="F4" t="str">
        <f>IF(VLOOKUP(A4,Original!I:N,6,0)=0,"Já pagou","Falta pagar")</f>
        <v>Falta pagar</v>
      </c>
      <c r="G4" s="7" t="str">
        <f t="shared" si="0"/>
        <v>Boa tarde boa tarde!! Seus números da rifa são os 28, 44, 137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" t="str">
        <f t="shared" si="1"/>
        <v>Boa%20tarde%20boa%20tarde!!%20Seus%20números%20da%20rifa%20são%20os%2028,%2044,%20137%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" t="str">
        <f t="shared" si="2"/>
        <v>https://web.whatsapp.com/send/?phone=12033607352&amp;text=Boa%20tarde%20boa%20tarde!!%20Seus%20números%20da%20rifa%20são%20os%2028,%2044,%20137%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" spans="1:10">
      <c r="A5" s="1">
        <f>Original!I33</f>
        <v>2038185657</v>
      </c>
      <c r="B5" s="1">
        <f>Original!J33</f>
        <v>2</v>
      </c>
      <c r="C5" s="1">
        <f>Original!K33</f>
        <v>2</v>
      </c>
      <c r="D5" s="1" t="str">
        <f>Original!L33</f>
        <v>46, 110</v>
      </c>
      <c r="E5" s="1" t="str">
        <f>Original!M33</f>
        <v>JESSICA pg ,JESSICA pg</v>
      </c>
      <c r="F5" t="str">
        <f>IF(VLOOKUP(A5,Original!I:N,6,0)=0,"Já pagou","Falta pagar")</f>
        <v>Já pagou</v>
      </c>
      <c r="G5" s="7" t="str">
        <f t="shared" si="0"/>
        <v>Boa tarde boa tarde!! Seus números da rifa são os 46, 110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" t="str">
        <f t="shared" si="1"/>
        <v>Boa%20tarde%20boa%20tarde!!%20Seus%20números%20da%20rifa%20são%20os%2046,%20110%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" t="str">
        <f t="shared" si="2"/>
        <v>https://web.whatsapp.com/send/?phone=12038185657&amp;text=Boa%20tarde%20boa%20tarde!!%20Seus%20números%20da%20rifa%20são%20os%2046,%20110%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" spans="1:10">
      <c r="A6" s="1">
        <f>Original!I34</f>
        <v>2032122279</v>
      </c>
      <c r="B6" s="1">
        <f>Original!J34</f>
        <v>3</v>
      </c>
      <c r="C6" s="1">
        <f>Original!K34</f>
        <v>0</v>
      </c>
      <c r="D6" s="1" t="str">
        <f>Original!L34</f>
        <v>47, 470, 478</v>
      </c>
      <c r="E6" s="1" t="str">
        <f>Original!M34</f>
        <v>JEREMIAS COSTA ,JEREMIAS COSTA ,JEREMIAS COSTA</v>
      </c>
      <c r="F6" t="str">
        <f>IF(VLOOKUP(A6,Original!I:N,6,0)=0,"Já pagou","Falta pagar")</f>
        <v>Falta pagar</v>
      </c>
      <c r="G6" s="7" t="str">
        <f t="shared" si="0"/>
        <v>Boa tarde boa tarde!! Seus números da rifa são os 47, 470, 478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" t="str">
        <f t="shared" si="1"/>
        <v>Boa%20tarde%20boa%20tarde!!%20Seus%20números%20da%20rifa%20são%20os%2047,%20470,%20478%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" t="str">
        <f t="shared" si="2"/>
        <v>https://web.whatsapp.com/send/?phone=12032122279&amp;text=Boa%20tarde%20boa%20tarde!!%20Seus%20números%20da%20rifa%20são%20os%2047,%20470,%20478%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" spans="1:10">
      <c r="A7" s="1">
        <f>Original!I35</f>
        <v>2038148765</v>
      </c>
      <c r="B7" s="1">
        <f>Original!J35</f>
        <v>1</v>
      </c>
      <c r="C7" s="1">
        <f>Original!K35</f>
        <v>0</v>
      </c>
      <c r="D7" s="1" t="str">
        <f>Original!L35</f>
        <v>48</v>
      </c>
      <c r="E7" s="1" t="str">
        <f>Original!M35</f>
        <v>MARCIO CARVALHO</v>
      </c>
      <c r="F7" t="str">
        <f>IF(VLOOKUP(A7,Original!I:N,6,0)=0,"Já pagou","Falta pagar")</f>
        <v>Falta pagar</v>
      </c>
      <c r="G7" s="7" t="str">
        <f t="shared" si="0"/>
        <v>Boa tarde boa tarde!! Seu número da rifa é o 48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" t="str">
        <f t="shared" si="1"/>
        <v>Boa%20tarde%20boa%20tarde!!%20Seu%20número%20da%20rifa%20é%20o%2048%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" t="str">
        <f t="shared" si="2"/>
        <v>https://web.whatsapp.com/send/?phone=12038148765&amp;text=Boa%20tarde%20boa%20tarde!!%20Seu%20número%20da%20rifa%20é%20o%2048%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" spans="1:10">
      <c r="A8" s="1">
        <f>Original!I36</f>
        <v>2036679981</v>
      </c>
      <c r="B8" s="1">
        <f>Original!J36</f>
        <v>1</v>
      </c>
      <c r="C8" s="1">
        <f>Original!K36</f>
        <v>1</v>
      </c>
      <c r="D8" s="1" t="str">
        <f>Original!L36</f>
        <v>49</v>
      </c>
      <c r="E8" s="1" t="str">
        <f>Original!M36</f>
        <v>RENE pg</v>
      </c>
      <c r="F8" t="str">
        <f>IF(VLOOKUP(A8,Original!I:N,6,0)=0,"Já pagou","Falta pagar")</f>
        <v>Já pagou</v>
      </c>
      <c r="G8" s="7" t="str">
        <f t="shared" si="0"/>
        <v>Boa tarde boa tarde!! Seu número da rifa é o 49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" t="str">
        <f t="shared" si="1"/>
        <v>Boa%20tarde%20boa%20tarde!!%20Seu%20número%20da%20rifa%20é%20o%2049%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" t="str">
        <f t="shared" si="2"/>
        <v>https://web.whatsapp.com/send/?phone=12036679981&amp;text=Boa%20tarde%20boa%20tarde!!%20Seu%20número%20da%20rifa%20é%20o%2049%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" spans="1:10">
      <c r="A9" s="1">
        <f>Original!I37</f>
        <v>9144399667</v>
      </c>
      <c r="B9" s="1">
        <f>Original!J37</f>
        <v>2</v>
      </c>
      <c r="C9" s="1">
        <f>Original!K37</f>
        <v>2</v>
      </c>
      <c r="D9" s="1" t="str">
        <f>Original!L37</f>
        <v>53, 65</v>
      </c>
      <c r="E9" s="1" t="str">
        <f>Original!M37</f>
        <v>ALAN KARLA pg ,ALAN KARLA pg</v>
      </c>
      <c r="F9" t="str">
        <f>IF(VLOOKUP(A9,Original!I:N,6,0)=0,"Já pagou","Falta pagar")</f>
        <v>Já pagou</v>
      </c>
      <c r="G9" s="7" t="str">
        <f t="shared" si="0"/>
        <v>Boa tarde boa tarde!! Seus números da rifa são os 53, 65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" t="str">
        <f t="shared" si="1"/>
        <v>Boa%20tarde%20boa%20tarde!!%20Seus%20números%20da%20rifa%20são%20os%2053,%2065%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" t="str">
        <f t="shared" si="2"/>
        <v>https://web.whatsapp.com/send/?phone=19144399667&amp;text=Boa%20tarde%20boa%20tarde!!%20Seus%20números%20da%20rifa%20são%20os%2053,%2065%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" spans="1:10">
      <c r="A10" s="1">
        <f>Original!I38</f>
        <v>2039237387</v>
      </c>
      <c r="B10" s="1">
        <f>Original!J38</f>
        <v>3</v>
      </c>
      <c r="C10" s="1">
        <f>Original!K38</f>
        <v>3</v>
      </c>
      <c r="D10" s="1" t="str">
        <f>Original!L38</f>
        <v>56, 126, 242</v>
      </c>
      <c r="E10" s="1" t="str">
        <f>Original!M38</f>
        <v>LUCIANO Serjao pg ,LUCIANO Serjao pg ,LUCIANO Serjao pg</v>
      </c>
      <c r="F10" t="str">
        <f>IF(VLOOKUP(A10,Original!I:N,6,0)=0,"Já pagou","Falta pagar")</f>
        <v>Já pagou</v>
      </c>
      <c r="G10" s="7" t="str">
        <f t="shared" si="0"/>
        <v>Boa tarde boa tarde!! Seus números da rifa são os 56, 126, 242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" t="str">
        <f t="shared" si="1"/>
        <v>Boa%20tarde%20boa%20tarde!!%20Seus%20números%20da%20rifa%20são%20os%2056,%20126,%20242%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" t="str">
        <f t="shared" si="2"/>
        <v>https://web.whatsapp.com/send/?phone=12039237387&amp;text=Boa%20tarde%20boa%20tarde!!%20Seus%20números%20da%20rifa%20são%20os%2056,%20126,%20242%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" spans="1:10">
      <c r="A11" s="1">
        <f>Original!I39</f>
        <v>2032570853</v>
      </c>
      <c r="B11" s="1">
        <f>Original!J39</f>
        <v>1</v>
      </c>
      <c r="C11" s="1">
        <f>Original!K39</f>
        <v>0</v>
      </c>
      <c r="D11" s="1" t="str">
        <f>Original!L39</f>
        <v>58</v>
      </c>
      <c r="E11" s="1" t="str">
        <f>Original!M39</f>
        <v>MAZIM amigo cidmar</v>
      </c>
      <c r="F11" t="str">
        <f>IF(VLOOKUP(A11,Original!I:N,6,0)=0,"Já pagou","Falta pagar")</f>
        <v>Falta pagar</v>
      </c>
      <c r="G11" s="7" t="str">
        <f t="shared" si="0"/>
        <v>Boa tarde boa tarde!! Seu número da rifa é o 58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" t="str">
        <f t="shared" si="1"/>
        <v>Boa%20tarde%20boa%20tarde!!%20Seu%20número%20da%20rifa%20é%20o%2058%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" t="str">
        <f t="shared" si="2"/>
        <v>https://web.whatsapp.com/send/?phone=12032570853&amp;text=Boa%20tarde%20boa%20tarde!!%20Seu%20número%20da%20rifa%20é%20o%2058%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" spans="1:10">
      <c r="A12" s="1">
        <f>Original!I40</f>
        <v>2038583797</v>
      </c>
      <c r="B12" s="1">
        <f>Original!J40</f>
        <v>1</v>
      </c>
      <c r="C12" s="1">
        <f>Original!K40</f>
        <v>0</v>
      </c>
      <c r="D12" s="1" t="str">
        <f>Original!L40</f>
        <v>59</v>
      </c>
      <c r="E12" s="1" t="str">
        <f>Original!M40</f>
        <v>ALMIR COSTA</v>
      </c>
      <c r="F12" t="str">
        <f>IF(VLOOKUP(A12,Original!I:N,6,0)=0,"Já pagou","Falta pagar")</f>
        <v>Falta pagar</v>
      </c>
      <c r="G12" s="7" t="str">
        <f t="shared" si="0"/>
        <v>Boa tarde boa tarde!! Seu número da rifa é o 59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" t="str">
        <f t="shared" si="1"/>
        <v>Boa%20tarde%20boa%20tarde!!%20Seu%20número%20da%20rifa%20é%20o%2059%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" t="str">
        <f t="shared" si="2"/>
        <v>https://web.whatsapp.com/send/?phone=12038583797&amp;text=Boa%20tarde%20boa%20tarde!!%20Seu%20número%20da%20rifa%20é%20o%2059%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" spans="1:10">
      <c r="A13" s="1">
        <f>Original!I41</f>
        <v>2036105893</v>
      </c>
      <c r="B13" s="1">
        <f>Original!J41</f>
        <v>3</v>
      </c>
      <c r="C13" s="1">
        <f>Original!K41</f>
        <v>0</v>
      </c>
      <c r="D13" s="1" t="str">
        <f>Original!L41</f>
        <v>61, 169, 450</v>
      </c>
      <c r="E13" s="1" t="str">
        <f>Original!M41</f>
        <v>BRYAN DA SILVA /vagner ,WAGNER DA SILVA ,DAVID DA SILVA</v>
      </c>
      <c r="F13" t="str">
        <f>IF(VLOOKUP(A13,Original!I:N,6,0)=0,"Já pagou","Falta pagar")</f>
        <v>Falta pagar</v>
      </c>
      <c r="G13" s="7" t="str">
        <f t="shared" si="0"/>
        <v>Boa tarde boa tarde!! Seus números da rifa são os 61, 169, 450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" t="str">
        <f t="shared" si="1"/>
        <v>Boa%20tarde%20boa%20tarde!!%20Seus%20números%20da%20rifa%20são%20os%2061,%20169,%20450%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" t="str">
        <f t="shared" si="2"/>
        <v>https://web.whatsapp.com/send/?phone=12036105893&amp;text=Boa%20tarde%20boa%20tarde!!%20Seus%20números%20da%20rifa%20são%20os%2061,%20169,%20450%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4" spans="1:10">
      <c r="A14" s="1">
        <f>Original!I42</f>
        <v>9147602272</v>
      </c>
      <c r="B14" s="1">
        <f>Original!J42</f>
        <v>7</v>
      </c>
      <c r="C14" s="1">
        <f>Original!K42</f>
        <v>3</v>
      </c>
      <c r="D14" s="1" t="str">
        <f>Original!L42</f>
        <v>63, 64, 121, 128, 259, 379, 406</v>
      </c>
      <c r="E14" s="1" t="str">
        <f>Original!M42</f>
        <v>DALTON pg ,DALTON pg ,DALTON pg ,DALTON ,Rafael Melo (Dalton) ,DALNTON ,Rafael Melo (Dalton)</v>
      </c>
      <c r="F14" t="str">
        <f>IF(VLOOKUP(A14,Original!I:N,6,0)=0,"Já pagou","Falta pagar")</f>
        <v>Falta pagar</v>
      </c>
      <c r="G14" s="7" t="str">
        <f t="shared" si="0"/>
        <v>Boa tarde boa tarde!! Seus números da rifa são os 63, 64, 121, 128, 259, 379, 406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4" t="str">
        <f t="shared" si="1"/>
        <v>Boa%20tarde%20boa%20tarde!!%20Seus%20números%20da%20rifa%20são%20os%2063,%2064,%20121,%20128,%20259,%20379,%20406%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4" t="str">
        <f t="shared" si="2"/>
        <v>https://web.whatsapp.com/send/?phone=19147602272&amp;text=Boa%20tarde%20boa%20tarde!!%20Seus%20números%20da%20rifa%20são%20os%2063,%2064,%20121,%20128,%20259,%20379,%20406%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5" spans="1:10">
      <c r="A15" s="1">
        <f>Original!I43</f>
        <v>6178661781</v>
      </c>
      <c r="B15" s="1">
        <f>Original!J43</f>
        <v>2</v>
      </c>
      <c r="C15" s="1">
        <f>Original!K43</f>
        <v>0</v>
      </c>
      <c r="D15" s="1" t="str">
        <f>Original!L43</f>
        <v>66, 68</v>
      </c>
      <c r="E15" s="1" t="str">
        <f>Original!M43</f>
        <v>DANILO AMARAL ,DANILO AMARAL</v>
      </c>
      <c r="F15" t="str">
        <f>IF(VLOOKUP(A15,Original!I:N,6,0)=0,"Já pagou","Falta pagar")</f>
        <v>Falta pagar</v>
      </c>
      <c r="G15" s="7" t="str">
        <f t="shared" si="0"/>
        <v>Boa tarde boa tarde!! Seus números da rifa são os 66, 68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5" t="str">
        <f t="shared" si="1"/>
        <v>Boa%20tarde%20boa%20tarde!!%20Seus%20números%20da%20rifa%20são%20os%2066,%2068%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5" t="str">
        <f t="shared" si="2"/>
        <v>https://web.whatsapp.com/send/?phone=16178661781&amp;text=Boa%20tarde%20boa%20tarde!!%20Seus%20números%20da%20rifa%20são%20os%2066,%2068%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6" spans="1:10">
      <c r="A16" s="1">
        <f>Original!I44</f>
        <v>9144003667</v>
      </c>
      <c r="B16" s="1">
        <f>Original!J44</f>
        <v>2</v>
      </c>
      <c r="C16" s="1">
        <f>Original!K44</f>
        <v>0</v>
      </c>
      <c r="D16" s="1" t="str">
        <f>Original!L44</f>
        <v>73, 205</v>
      </c>
      <c r="E16" s="1" t="str">
        <f>Original!M44</f>
        <v>ANDERSON JEFERSON ,ANDERSON JEFERSON</v>
      </c>
      <c r="F16" t="str">
        <f>IF(VLOOKUP(A16,Original!I:N,6,0)=0,"Já pagou","Falta pagar")</f>
        <v>Falta pagar</v>
      </c>
      <c r="G16" s="7" t="str">
        <f t="shared" si="0"/>
        <v>Boa tarde boa tarde!! Seus números da rifa são os 73, 205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6" t="str">
        <f t="shared" si="1"/>
        <v>Boa%20tarde%20boa%20tarde!!%20Seus%20números%20da%20rifa%20são%20os%2073,%20205%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6" t="str">
        <f t="shared" si="2"/>
        <v>https://web.whatsapp.com/send/?phone=19144003667&amp;text=Boa%20tarde%20boa%20tarde!!%20Seus%20números%20da%20rifa%20são%20os%2073,%20205%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7" spans="1:9">
      <c r="A17" s="1">
        <f>Original!I45</f>
        <v>2036006922</v>
      </c>
      <c r="B17" s="1">
        <f>Original!J45</f>
        <v>1</v>
      </c>
      <c r="C17" s="1">
        <f>Original!K45</f>
        <v>0</v>
      </c>
      <c r="D17" s="1" t="str">
        <f>Original!L45</f>
        <v>75</v>
      </c>
      <c r="E17" s="1" t="str">
        <f>Original!M45</f>
        <v>CIRIS FERREIRA</v>
      </c>
      <c r="F17" t="str">
        <f>IF(VLOOKUP(A17,Original!I:N,6,0)=0,"Já pagou","Falta pagar")</f>
        <v>Falta pagar</v>
      </c>
      <c r="G17" s="7" t="str">
        <f t="shared" si="0"/>
        <v>Boa tarde boa tarde!! Seu número da rifa é o 75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7" t="str">
        <f t="shared" si="1"/>
        <v>Boa%20tarde%20boa%20tarde!!%20Seu%20número%20da%20rifa%20é%20o%2075%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7" t="str">
        <f t="shared" si="2"/>
        <v>https://web.whatsapp.com/send/?phone=12036006922&amp;text=Boa%20tarde%20boa%20tarde!!%20Seu%20número%20da%20rifa%20é%20o%2075%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8" spans="1:9">
      <c r="A18" s="1">
        <f>Original!I46</f>
        <v>2035719888</v>
      </c>
      <c r="B18" s="1">
        <f>Original!J46</f>
        <v>2</v>
      </c>
      <c r="C18" s="1">
        <f>Original!K46</f>
        <v>0</v>
      </c>
      <c r="D18" s="1" t="str">
        <f>Original!L46</f>
        <v>76, 98</v>
      </c>
      <c r="E18" s="1" t="str">
        <f>Original!M46</f>
        <v>FRANCISCO SOUZA ,FRANCISCO SOUZA</v>
      </c>
      <c r="F18" t="str">
        <f>IF(VLOOKUP(A18,Original!I:N,6,0)=0,"Já pagou","Falta pagar")</f>
        <v>Falta pagar</v>
      </c>
      <c r="G18" s="7" t="str">
        <f t="shared" si="0"/>
        <v>Boa tarde boa tarde!! Seus números da rifa são os 76, 98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8" t="str">
        <f t="shared" si="1"/>
        <v>Boa%20tarde%20boa%20tarde!!%20Seus%20números%20da%20rifa%20são%20os%2076,%2098%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8" t="str">
        <f t="shared" si="2"/>
        <v>https://web.whatsapp.com/send/?phone=12035719888&amp;text=Boa%20tarde%20boa%20tarde!!%20Seus%20números%20da%20rifa%20são%20os%2076,%2098%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9" spans="1:9">
      <c r="A19" s="1">
        <f>Original!I47</f>
        <v>2039819598</v>
      </c>
      <c r="B19" s="1">
        <f>Original!J47</f>
        <v>3</v>
      </c>
      <c r="C19" s="1">
        <f>Original!K47</f>
        <v>3</v>
      </c>
      <c r="D19" s="1" t="str">
        <f>Original!L47</f>
        <v>78, 168, 393</v>
      </c>
      <c r="E19" s="1" t="str">
        <f>Original!M47</f>
        <v>Rodrigo / Polly pg ,Rodrigo /polly pg ,Rodrigo / Polly (f)</v>
      </c>
      <c r="F19" t="str">
        <f>IF(VLOOKUP(A19,Original!I:N,6,0)=0,"Já pagou","Falta pagar")</f>
        <v>Já pagou</v>
      </c>
      <c r="G19" s="7" t="str">
        <f t="shared" si="0"/>
        <v>Boa tarde boa tarde!! Seus números da rifa são os 78, 168, 393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9" t="str">
        <f t="shared" si="1"/>
        <v>Boa%20tarde%20boa%20tarde!!%20Seus%20números%20da%20rifa%20são%20os%2078,%20168,%20393%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9" t="str">
        <f t="shared" si="2"/>
        <v>https://web.whatsapp.com/send/?phone=12039819598&amp;text=Boa%20tarde%20boa%20tarde!!%20Seus%20números%20da%20rifa%20são%20os%2078,%20168,%20393%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0" spans="1:9">
      <c r="A20" s="1">
        <f>Original!I48</f>
        <v>5615309805</v>
      </c>
      <c r="B20" s="1">
        <f>Original!J48</f>
        <v>1</v>
      </c>
      <c r="C20" s="1">
        <f>Original!K48</f>
        <v>0</v>
      </c>
      <c r="D20" s="1" t="str">
        <f>Original!L48</f>
        <v>79</v>
      </c>
      <c r="E20" s="1" t="str">
        <f>Original!M48</f>
        <v>LUIS SERGIO</v>
      </c>
      <c r="F20" t="str">
        <f>IF(VLOOKUP(A20,Original!I:N,6,0)=0,"Já pagou","Falta pagar")</f>
        <v>Falta pagar</v>
      </c>
      <c r="G20" s="7" t="str">
        <f t="shared" si="0"/>
        <v>Boa tarde boa tarde!! Seu número da rifa é o 79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0" t="str">
        <f t="shared" si="1"/>
        <v>Boa%20tarde%20boa%20tarde!!%20Seu%20número%20da%20rifa%20é%20o%2079%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0" t="str">
        <f t="shared" si="2"/>
        <v>https://web.whatsapp.com/send/?phone=15615309805&amp;text=Boa%20tarde%20boa%20tarde!!%20Seu%20número%20da%20rifa%20é%20o%2079%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1" spans="1:9">
      <c r="A21" s="1">
        <f>Original!I49</f>
        <v>3528902004</v>
      </c>
      <c r="B21" s="1">
        <f>Original!J49</f>
        <v>1</v>
      </c>
      <c r="C21" s="1">
        <f>Original!K49</f>
        <v>0</v>
      </c>
      <c r="D21" s="1" t="str">
        <f>Original!L49</f>
        <v>82</v>
      </c>
      <c r="E21" s="1" t="str">
        <f>Original!M49</f>
        <v>DEUSMAR</v>
      </c>
      <c r="F21" t="str">
        <f>IF(VLOOKUP(A21,Original!I:N,6,0)=0,"Já pagou","Falta pagar")</f>
        <v>Falta pagar</v>
      </c>
      <c r="G21" s="7" t="str">
        <f t="shared" si="0"/>
        <v>Boa tarde boa tarde!! Seu número da rifa é o 82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1" t="str">
        <f t="shared" si="1"/>
        <v>Boa%20tarde%20boa%20tarde!!%20Seu%20número%20da%20rifa%20é%20o%2082%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1" t="str">
        <f t="shared" si="2"/>
        <v>https://web.whatsapp.com/send/?phone=13528902004&amp;text=Boa%20tarde%20boa%20tarde!!%20Seu%20número%20da%20rifa%20é%20o%2082%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2" spans="1:9">
      <c r="A22" s="1">
        <f>Original!I50</f>
        <v>9732826254</v>
      </c>
      <c r="B22" s="1">
        <f>Original!J50</f>
        <v>1</v>
      </c>
      <c r="C22" s="1">
        <f>Original!K50</f>
        <v>1</v>
      </c>
      <c r="D22" s="1" t="str">
        <f>Original!L50</f>
        <v>83</v>
      </c>
      <c r="E22" s="1" t="str">
        <f>Original!M50</f>
        <v>LEO OLEGARIO pg</v>
      </c>
      <c r="F22" t="str">
        <f>IF(VLOOKUP(A22,Original!I:N,6,0)=0,"Já pagou","Falta pagar")</f>
        <v>Já pagou</v>
      </c>
      <c r="G22" s="7" t="str">
        <f t="shared" si="0"/>
        <v>Boa tarde boa tarde!! Seu número da rifa é o 83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2" t="str">
        <f t="shared" si="1"/>
        <v>Boa%20tarde%20boa%20tarde!!%20Seu%20número%20da%20rifa%20é%20o%2083%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2" t="str">
        <f t="shared" si="2"/>
        <v>https://web.whatsapp.com/send/?phone=19732826254&amp;text=Boa%20tarde%20boa%20tarde!!%20Seu%20número%20da%20rifa%20é%20o%2083%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3" spans="1:9">
      <c r="A23" s="1">
        <f>Original!I51</f>
        <v>5162442819</v>
      </c>
      <c r="B23" s="1">
        <f>Original!J51</f>
        <v>2</v>
      </c>
      <c r="C23" s="1">
        <f>Original!K51</f>
        <v>1</v>
      </c>
      <c r="D23" s="1" t="str">
        <f>Original!L51</f>
        <v>84, 217</v>
      </c>
      <c r="E23" s="1" t="str">
        <f>Original!M51</f>
        <v>Carlos de Paula (f) ,Carlos de Paula</v>
      </c>
      <c r="F23" t="str">
        <f>IF(VLOOKUP(A23,Original!I:N,6,0)=0,"Já pagou","Falta pagar")</f>
        <v>Falta pagar</v>
      </c>
      <c r="G23" s="7" t="str">
        <f t="shared" si="0"/>
        <v>Boa tarde boa tarde!! Seus números da rifa são os 84, 217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3" t="str">
        <f t="shared" si="1"/>
        <v>Boa%20tarde%20boa%20tarde!!%20Seus%20números%20da%20rifa%20são%20os%2084,%20217%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3" t="str">
        <f t="shared" si="2"/>
        <v>https://web.whatsapp.com/send/?phone=15162442819&amp;text=Boa%20tarde%20boa%20tarde!!%20Seus%20números%20da%20rifa%20são%20os%2084,%20217%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4" spans="1:9">
      <c r="A24" s="1">
        <f>Original!I52</f>
        <v>2035229574</v>
      </c>
      <c r="B24" s="1">
        <f>Original!J52</f>
        <v>5</v>
      </c>
      <c r="C24" s="1">
        <f>Original!K52</f>
        <v>0</v>
      </c>
      <c r="D24" s="1" t="str">
        <f>Original!L52</f>
        <v>85, 218, 219, 221, 285</v>
      </c>
      <c r="E24" s="1" t="str">
        <f>Original!M52</f>
        <v>DANIEL jet ,DANIEL jet ,DANIEL jet ,DANIEL jet ,DANIEL jet</v>
      </c>
      <c r="F24" t="str">
        <f>IF(VLOOKUP(A24,Original!I:N,6,0)=0,"Já pagou","Falta pagar")</f>
        <v>Falta pagar</v>
      </c>
      <c r="G24" s="7" t="str">
        <f t="shared" si="0"/>
        <v>Boa tarde boa tarde!! Seus números da rifa são os 85, 218, 219, 221, 285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4" t="str">
        <f t="shared" si="1"/>
        <v>Boa%20tarde%20boa%20tarde!!%20Seus%20números%20da%20rifa%20são%20os%2085,%20218,%20219,%20221,%20285%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4" t="str">
        <f t="shared" si="2"/>
        <v>https://web.whatsapp.com/send/?phone=12035229574&amp;text=Boa%20tarde%20boa%20tarde!!%20Seus%20números%20da%20rifa%20são%20os%2085,%20218,%20219,%20221,%20285%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5" spans="1:9">
      <c r="A25" s="1">
        <f>Original!I53</f>
        <v>2036925867</v>
      </c>
      <c r="B25" s="1">
        <f>Original!J53</f>
        <v>1</v>
      </c>
      <c r="C25" s="1">
        <f>Original!K53</f>
        <v>0</v>
      </c>
      <c r="D25" s="1" t="str">
        <f>Original!L53</f>
        <v>86</v>
      </c>
      <c r="E25" s="1" t="str">
        <f>Original!M53</f>
        <v>ANDRE RAY</v>
      </c>
      <c r="F25" t="str">
        <f>IF(VLOOKUP(A25,Original!I:N,6,0)=0,"Já pagou","Falta pagar")</f>
        <v>Falta pagar</v>
      </c>
      <c r="G25" s="7" t="str">
        <f t="shared" si="0"/>
        <v>Boa tarde boa tarde!! Seu número da rifa é o 86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5" t="str">
        <f t="shared" si="1"/>
        <v>Boa%20tarde%20boa%20tarde!!%20Seu%20número%20da%20rifa%20é%20o%2086%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5" t="str">
        <f t="shared" si="2"/>
        <v>https://web.whatsapp.com/send/?phone=12036925867&amp;text=Boa%20tarde%20boa%20tarde!!%20Seu%20número%20da%20rifa%20é%20o%2086%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6" spans="1:9">
      <c r="A26" s="1">
        <f>Original!I54</f>
        <v>2035401836</v>
      </c>
      <c r="B26" s="1">
        <f>Original!J54</f>
        <v>1</v>
      </c>
      <c r="C26" s="1">
        <f>Original!K54</f>
        <v>1</v>
      </c>
      <c r="D26" s="1" t="str">
        <f>Original!L54</f>
        <v>87</v>
      </c>
      <c r="E26" s="1" t="str">
        <f>Original!M54</f>
        <v>Fabiano Alves pg</v>
      </c>
      <c r="F26" t="str">
        <f>IF(VLOOKUP(A26,Original!I:N,6,0)=0,"Já pagou","Falta pagar")</f>
        <v>Já pagou</v>
      </c>
      <c r="G26" s="7" t="str">
        <f t="shared" si="0"/>
        <v>Boa tarde boa tarde!! Seu número da rifa é o 87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6" t="str">
        <f t="shared" si="1"/>
        <v>Boa%20tarde%20boa%20tarde!!%20Seu%20número%20da%20rifa%20é%20o%2087%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6" t="str">
        <f t="shared" si="2"/>
        <v>https://web.whatsapp.com/send/?phone=12035401836&amp;text=Boa%20tarde%20boa%20tarde!!%20Seu%20número%20da%20rifa%20é%20o%2087%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7" spans="1:9">
      <c r="A27" s="1">
        <f>Original!I55</f>
        <v>9145656120</v>
      </c>
      <c r="B27" s="1">
        <f>Original!J55</f>
        <v>1</v>
      </c>
      <c r="C27" s="1">
        <f>Original!K55</f>
        <v>0</v>
      </c>
      <c r="D27" s="1" t="str">
        <f>Original!L55</f>
        <v>89</v>
      </c>
      <c r="E27" s="1" t="str">
        <f>Original!M55</f>
        <v>JOAO V CARDOSO</v>
      </c>
      <c r="F27" t="str">
        <f>IF(VLOOKUP(A27,Original!I:N,6,0)=0,"Já pagou","Falta pagar")</f>
        <v>Falta pagar</v>
      </c>
      <c r="G27" s="7" t="str">
        <f t="shared" si="0"/>
        <v>Boa tarde boa tarde!! Seu número da rifa é o 89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7" t="str">
        <f t="shared" si="1"/>
        <v>Boa%20tarde%20boa%20tarde!!%20Seu%20número%20da%20rifa%20é%20o%2089%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7" t="str">
        <f t="shared" si="2"/>
        <v>https://web.whatsapp.com/send/?phone=19145656120&amp;text=Boa%20tarde%20boa%20tarde!!%20Seu%20número%20da%20rifa%20é%20o%2089%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8" spans="1:9">
      <c r="A28" s="1">
        <f>Original!I56</f>
        <v>2034285344</v>
      </c>
      <c r="B28" s="1">
        <f>Original!J56</f>
        <v>2</v>
      </c>
      <c r="C28" s="1">
        <f>Original!K56</f>
        <v>0</v>
      </c>
      <c r="D28" s="1" t="str">
        <f>Original!L56</f>
        <v>91, 181</v>
      </c>
      <c r="E28" s="1" t="str">
        <f>Original!M56</f>
        <v>BINHO ,BINHO</v>
      </c>
      <c r="F28" t="str">
        <f>IF(VLOOKUP(A28,Original!I:N,6,0)=0,"Já pagou","Falta pagar")</f>
        <v>Falta pagar</v>
      </c>
      <c r="G28" s="7" t="str">
        <f t="shared" si="0"/>
        <v>Boa tarde boa tarde!! Seus números da rifa são os 91, 181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8" t="str">
        <f t="shared" si="1"/>
        <v>Boa%20tarde%20boa%20tarde!!%20Seus%20números%20da%20rifa%20são%20os%2091,%20181%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8" t="str">
        <f t="shared" si="2"/>
        <v>https://web.whatsapp.com/send/?phone=12034285344&amp;text=Boa%20tarde%20boa%20tarde!!%20Seus%20números%20da%20rifa%20são%20os%2091,%20181%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29" spans="1:9">
      <c r="A29" s="1">
        <f>Original!I57</f>
        <v>2035239177</v>
      </c>
      <c r="B29" s="1">
        <f>Original!J57</f>
        <v>1</v>
      </c>
      <c r="C29" s="1">
        <f>Original!K57</f>
        <v>0</v>
      </c>
      <c r="D29" s="1" t="str">
        <f>Original!L57</f>
        <v>92</v>
      </c>
      <c r="E29" s="1" t="str">
        <f>Original!M57</f>
        <v>CHARLLIE</v>
      </c>
      <c r="F29" t="str">
        <f>IF(VLOOKUP(A29,Original!I:N,6,0)=0,"Já pagou","Falta pagar")</f>
        <v>Falta pagar</v>
      </c>
      <c r="G29" s="7" t="str">
        <f t="shared" si="0"/>
        <v>Boa tarde boa tarde!! Seu número da rifa é o 92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9" t="str">
        <f t="shared" si="1"/>
        <v>Boa%20tarde%20boa%20tarde!!%20Seu%20número%20da%20rifa%20é%20o%2092%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9" t="str">
        <f t="shared" si="2"/>
        <v>https://web.whatsapp.com/send/?phone=12035239177&amp;text=Boa%20tarde%20boa%20tarde!!%20Seu%20número%20da%20rifa%20é%20o%2092%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0" spans="1:9">
      <c r="A30" s="1">
        <f>Original!I58</f>
        <v>9144839842</v>
      </c>
      <c r="B30" s="1">
        <f>Original!J58</f>
        <v>2</v>
      </c>
      <c r="C30" s="1">
        <f>Original!K58</f>
        <v>0</v>
      </c>
      <c r="D30" s="1" t="str">
        <f>Original!L58</f>
        <v>93, 424</v>
      </c>
      <c r="E30" s="1" t="str">
        <f>Original!M58</f>
        <v xml:space="preserve">Joe (Juca) Guimaraes  ,Joe (Juca) Guimaraes </v>
      </c>
      <c r="F30" t="str">
        <f>IF(VLOOKUP(A30,Original!I:N,6,0)=0,"Já pagou","Falta pagar")</f>
        <v>Falta pagar</v>
      </c>
      <c r="G30" s="7" t="str">
        <f t="shared" si="0"/>
        <v>Boa tarde boa tarde!! Seus números da rifa são os 93, 424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0" t="str">
        <f t="shared" si="1"/>
        <v>Boa%20tarde%20boa%20tarde!!%20Seus%20números%20da%20rifa%20são%20os%2093,%20424%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0" t="str">
        <f t="shared" si="2"/>
        <v>https://web.whatsapp.com/send/?phone=19144839842&amp;text=Boa%20tarde%20boa%20tarde!!%20Seus%20números%20da%20rifa%20são%20os%2093,%20424%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1" spans="1:9">
      <c r="A31" s="1">
        <f>Original!I59</f>
        <v>2035229488</v>
      </c>
      <c r="B31" s="1">
        <f>Original!J59</f>
        <v>2</v>
      </c>
      <c r="C31" s="1">
        <f>Original!K59</f>
        <v>0</v>
      </c>
      <c r="D31" s="1" t="str">
        <f>Original!L59</f>
        <v>95, 299</v>
      </c>
      <c r="E31" s="1" t="str">
        <f>Original!M59</f>
        <v>DIEGO (MECANICO) ,DIEGO MECANICO</v>
      </c>
      <c r="F31" t="str">
        <f>IF(VLOOKUP(A31,Original!I:N,6,0)=0,"Já pagou","Falta pagar")</f>
        <v>Falta pagar</v>
      </c>
      <c r="G31" s="7" t="str">
        <f t="shared" si="0"/>
        <v>Boa tarde boa tarde!! Seus números da rifa são os 95, 299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1" t="str">
        <f t="shared" si="1"/>
        <v>Boa%20tarde%20boa%20tarde!!%20Seus%20números%20da%20rifa%20são%20os%2095,%20299%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1" t="str">
        <f t="shared" si="2"/>
        <v>https://web.whatsapp.com/send/?phone=12035229488&amp;text=Boa%20tarde%20boa%20tarde!!%20Seus%20números%20da%20rifa%20são%20os%2095,%20299%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2" spans="1:9">
      <c r="A32" s="1">
        <f>Original!I60</f>
        <v>9145659101</v>
      </c>
      <c r="B32" s="1">
        <f>Original!J60</f>
        <v>1</v>
      </c>
      <c r="C32" s="1">
        <f>Original!K60</f>
        <v>1</v>
      </c>
      <c r="D32" s="1" t="str">
        <f>Original!L60</f>
        <v>96</v>
      </c>
      <c r="E32" s="1" t="str">
        <f>Original!M60</f>
        <v>DOUGLAS pg</v>
      </c>
      <c r="F32" t="str">
        <f>IF(VLOOKUP(A32,Original!I:N,6,0)=0,"Já pagou","Falta pagar")</f>
        <v>Já pagou</v>
      </c>
      <c r="G32" s="7" t="str">
        <f t="shared" si="0"/>
        <v>Boa tarde boa tarde!! Seu número da rifa é o 96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2" t="str">
        <f t="shared" si="1"/>
        <v>Boa%20tarde%20boa%20tarde!!%20Seu%20número%20da%20rifa%20é%20o%2096%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2" t="str">
        <f t="shared" si="2"/>
        <v>https://web.whatsapp.com/send/?phone=19145659101&amp;text=Boa%20tarde%20boa%20tarde!!%20Seu%20número%20da%20rifa%20é%20o%2096%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3" spans="1:9">
      <c r="A33" s="1">
        <f>Original!I61</f>
        <v>2035597817</v>
      </c>
      <c r="B33" s="1">
        <f>Original!J61</f>
        <v>1</v>
      </c>
      <c r="C33" s="1">
        <f>Original!K61</f>
        <v>0</v>
      </c>
      <c r="D33" s="1" t="str">
        <f>Original!L61</f>
        <v>97</v>
      </c>
      <c r="E33" s="1" t="str">
        <f>Original!M61</f>
        <v>ROGERIO LOPES</v>
      </c>
      <c r="F33" t="str">
        <f>IF(VLOOKUP(A33,Original!I:N,6,0)=0,"Já pagou","Falta pagar")</f>
        <v>Falta pagar</v>
      </c>
      <c r="G33" s="7" t="str">
        <f t="shared" si="0"/>
        <v>Boa tarde boa tarde!! Seu número da rifa é o 97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3" t="str">
        <f t="shared" si="1"/>
        <v>Boa%20tarde%20boa%20tarde!!%20Seu%20número%20da%20rifa%20é%20o%2097%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3" t="str">
        <f t="shared" si="2"/>
        <v>https://web.whatsapp.com/send/?phone=12035597817&amp;text=Boa%20tarde%20boa%20tarde!!%20Seu%20número%20da%20rifa%20é%20o%2097%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4" spans="1:9">
      <c r="A34" s="1">
        <f>Original!I62</f>
        <v>9143918505</v>
      </c>
      <c r="B34" s="1">
        <f>Original!J62</f>
        <v>3</v>
      </c>
      <c r="C34" s="1">
        <f>Original!K62</f>
        <v>0</v>
      </c>
      <c r="D34" s="1" t="str">
        <f>Original!L62</f>
        <v>99, 282, 323</v>
      </c>
      <c r="E34" s="1" t="str">
        <f>Original!M62</f>
        <v>ADRIANO ,ADRIANO ,ADRIANO</v>
      </c>
      <c r="F34" t="str">
        <f>IF(VLOOKUP(A34,Original!I:N,6,0)=0,"Já pagou","Falta pagar")</f>
        <v>Falta pagar</v>
      </c>
      <c r="G34" s="7" t="str">
        <f t="shared" si="0"/>
        <v>Boa tarde boa tarde!! Seus números da rifa são os 99, 282, 323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4" t="str">
        <f t="shared" si="1"/>
        <v>Boa%20tarde%20boa%20tarde!!%20Seus%20números%20da%20rifa%20são%20os%2099,%20282,%20323%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4" t="str">
        <f t="shared" si="2"/>
        <v>https://web.whatsapp.com/send/?phone=19143918505&amp;text=Boa%20tarde%20boa%20tarde!!%20Seus%20números%20da%20rifa%20são%20os%2099,%20282,%20323%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5" spans="1:9">
      <c r="A35" s="1">
        <f>Original!I63</f>
        <v>2035439473</v>
      </c>
      <c r="B35" s="1">
        <f>Original!J63</f>
        <v>2</v>
      </c>
      <c r="C35" s="1">
        <f>Original!K63</f>
        <v>0</v>
      </c>
      <c r="D35" s="1" t="str">
        <f>Original!L63</f>
        <v>90, 100</v>
      </c>
      <c r="E35" s="1" t="str">
        <f>Original!M63</f>
        <v>FE EM DEUS 2035439473 ,HARLEY</v>
      </c>
      <c r="F35" t="str">
        <f>IF(VLOOKUP(A35,Original!I:N,6,0)=0,"Já pagou","Falta pagar")</f>
        <v>Falta pagar</v>
      </c>
      <c r="G35" s="7" t="str">
        <f t="shared" si="0"/>
        <v>Boa tarde boa tarde!! Seus números da rifa são os 90, 100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5" t="str">
        <f t="shared" si="1"/>
        <v>Boa%20tarde%20boa%20tarde!!%20Seus%20números%20da%20rifa%20são%20os%2090,%20100%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5" t="str">
        <f t="shared" si="2"/>
        <v>https://web.whatsapp.com/send/?phone=12035439473&amp;text=Boa%20tarde%20boa%20tarde!!%20Seus%20números%20da%20rifa%20são%20os%2090,%20100%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6" spans="1:9">
      <c r="A36" s="1">
        <f>Original!I64</f>
        <v>2672706341</v>
      </c>
      <c r="B36" s="1">
        <f>Original!J64</f>
        <v>3</v>
      </c>
      <c r="C36" s="1">
        <f>Original!K64</f>
        <v>3</v>
      </c>
      <c r="D36" s="1" t="str">
        <f>Original!L64</f>
        <v>102, 104, 106</v>
      </c>
      <c r="E36" s="1" t="str">
        <f>Original!M64</f>
        <v>UEVERTON L FERREIRA pg ,UEVERTON L FERREIRA pg ,UEVERTON L FERREIRA pg</v>
      </c>
      <c r="F36" t="str">
        <f>IF(VLOOKUP(A36,Original!I:N,6,0)=0,"Já pagou","Falta pagar")</f>
        <v>Já pagou</v>
      </c>
      <c r="G36" s="7" t="str">
        <f t="shared" si="0"/>
        <v>Boa tarde boa tarde!! Seus números da rifa são os 102, 104, 106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6" t="str">
        <f t="shared" si="1"/>
        <v>Boa%20tarde%20boa%20tarde!!%20Seus%20números%20da%20rifa%20são%20os%20102,%20104,%20106%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6" t="str">
        <f t="shared" si="2"/>
        <v>https://web.whatsapp.com/send/?phone=12672706341&amp;text=Boa%20tarde%20boa%20tarde!!%20Seus%20números%20da%20rifa%20são%20os%20102,%20104,%20106%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7" spans="1:9">
      <c r="A37" s="1">
        <f>Original!I65</f>
        <v>9144266464</v>
      </c>
      <c r="B37" s="1">
        <f>Original!J65</f>
        <v>1</v>
      </c>
      <c r="C37" s="1">
        <f>Original!K65</f>
        <v>1</v>
      </c>
      <c r="D37" s="1" t="str">
        <f>Original!L65</f>
        <v>103</v>
      </c>
      <c r="E37" s="1" t="str">
        <f>Original!M65</f>
        <v>RAFA JOAO pg</v>
      </c>
      <c r="F37" t="str">
        <f>IF(VLOOKUP(A37,Original!I:N,6,0)=0,"Já pagou","Falta pagar")</f>
        <v>Já pagou</v>
      </c>
      <c r="G37" s="7" t="str">
        <f t="shared" si="0"/>
        <v>Boa tarde boa tarde!! Seu número da rifa é o 103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7" t="str">
        <f t="shared" si="1"/>
        <v>Boa%20tarde%20boa%20tarde!!%20Seu%20número%20da%20rifa%20é%20o%20103%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7" t="str">
        <f t="shared" si="2"/>
        <v>https://web.whatsapp.com/send/?phone=19144266464&amp;text=Boa%20tarde%20boa%20tarde!!%20Seu%20número%20da%20rifa%20é%20o%20103%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8" spans="1:9">
      <c r="A38" s="1">
        <f>Original!I66</f>
        <v>2032432447</v>
      </c>
      <c r="B38" s="1">
        <f>Original!J66</f>
        <v>1</v>
      </c>
      <c r="C38" s="1">
        <f>Original!K66</f>
        <v>0</v>
      </c>
      <c r="D38" s="1" t="str">
        <f>Original!L66</f>
        <v>108</v>
      </c>
      <c r="E38" s="1" t="str">
        <f>Original!M66</f>
        <v>WIGNER LIMA</v>
      </c>
      <c r="F38" t="str">
        <f>IF(VLOOKUP(A38,Original!I:N,6,0)=0,"Já pagou","Falta pagar")</f>
        <v>Falta pagar</v>
      </c>
      <c r="G38" s="7" t="str">
        <f t="shared" si="0"/>
        <v>Boa tarde boa tarde!! Seu número da rifa é o 108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8" t="str">
        <f t="shared" si="1"/>
        <v>Boa%20tarde%20boa%20tarde!!%20Seu%20número%20da%20rifa%20é%20o%20108%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8" t="str">
        <f t="shared" si="2"/>
        <v>https://web.whatsapp.com/send/?phone=12032432447&amp;text=Boa%20tarde%20boa%20tarde!!%20Seu%20número%20da%20rifa%20é%20o%20108%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9" spans="1:9">
      <c r="A39" s="1">
        <f>Original!I67</f>
        <v>9148302799</v>
      </c>
      <c r="B39" s="1">
        <f>Original!J67</f>
        <v>4</v>
      </c>
      <c r="C39" s="1">
        <f>Original!K67</f>
        <v>4</v>
      </c>
      <c r="D39" s="1" t="str">
        <f>Original!L67</f>
        <v>111, 387, 411, 487</v>
      </c>
      <c r="E39" s="1" t="str">
        <f>Original!M67</f>
        <v>RONAN pg ,Ronan (Empire home solution)pg ,Ronan (Empire home solution)pg ,Ronan (Empire home solution) (f)</v>
      </c>
      <c r="F39" t="str">
        <f>IF(VLOOKUP(A39,Original!I:N,6,0)=0,"Já pagou","Falta pagar")</f>
        <v>Já pagou</v>
      </c>
      <c r="G39" s="7" t="str">
        <f t="shared" ref="G39:G102" si="3">"Boa tarde boa tarde!! "&amp;IF(B39&gt;1,"Seus números da rifa são os ","Seu número da rifa é o ")&amp;D39&amp;" referente ao Carro e Jetski no primeiro lugar .O Zelle para pagamento é o 9143629635. Estou fazendo a última chamada para recolher o valor e aguardamos "&amp;"seu retorno até domingo, e caso nao consiga retornar, vamos disponibilizar os numeros na rifa. Obrigado 🙏 boa sorte 🍀 "&amp;"Caso tenha pago esses numeros, por gentileza enviar o comprovante para atualizar a lista."</f>
        <v>Boa tarde boa tarde!! Seus números da rifa são os 111, 387, 411, 487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9" t="str">
        <f t="shared" ref="H39:H102" si="4">SUBSTITUTE(
SUBSTITUTE(
SUBSTITUTE(
SUBSTITUTE(
SUBSTITUTE(
SUBSTITUTE(G39," ","%20"),
CHAR(10),"%0A"),
"""","%22"),
"&amp;","%26"),
":","%3A"),
"/","%2F")</f>
        <v>Boa%20tarde%20boa%20tarde!!%20Seus%20números%20da%20rifa%20são%20os%20111,%20387,%20411,%20487%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9" t="str">
        <f t="shared" ref="I39:I102" si="5">"https://web.whatsapp.com/send/?phone="&amp;IF(LEFT(A39,2)="55","","1")&amp;A39&amp;"&amp;text="&amp;H39</f>
        <v>https://web.whatsapp.com/send/?phone=19148302799&amp;text=Boa%20tarde%20boa%20tarde!!%20Seus%20números%20da%20rifa%20são%20os%20111,%20387,%20411,%20487%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0" spans="1:9">
      <c r="A40" s="1">
        <f>Original!I68</f>
        <v>6313360222</v>
      </c>
      <c r="B40" s="1">
        <f>Original!J68</f>
        <v>1</v>
      </c>
      <c r="C40" s="1">
        <f>Original!K68</f>
        <v>1</v>
      </c>
      <c r="D40" s="1" t="str">
        <f>Original!L68</f>
        <v>112</v>
      </c>
      <c r="E40" s="1" t="str">
        <f>Original!M68</f>
        <v>MARCOS VINICIUS pg</v>
      </c>
      <c r="F40" t="str">
        <f>IF(VLOOKUP(A40,Original!I:N,6,0)=0,"Já pagou","Falta pagar")</f>
        <v>Já pagou</v>
      </c>
      <c r="G40" s="7" t="str">
        <f t="shared" si="3"/>
        <v>Boa tarde boa tarde!! Seu número da rifa é o 112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0" t="str">
        <f t="shared" si="4"/>
        <v>Boa%20tarde%20boa%20tarde!!%20Seu%20número%20da%20rifa%20é%20o%20112%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0" t="str">
        <f t="shared" si="5"/>
        <v>https://web.whatsapp.com/send/?phone=16313360222&amp;text=Boa%20tarde%20boa%20tarde!!%20Seu%20número%20da%20rifa%20é%20o%20112%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1" spans="1:9">
      <c r="A41" s="1">
        <f>Original!I69</f>
        <v>2035456330</v>
      </c>
      <c r="B41" s="1">
        <f>Original!J69</f>
        <v>4</v>
      </c>
      <c r="C41" s="1">
        <f>Original!K69</f>
        <v>0</v>
      </c>
      <c r="D41" s="1" t="str">
        <f>Original!L69</f>
        <v>113, 118, 131, 144</v>
      </c>
      <c r="E41" s="1" t="str">
        <f>Original!M69</f>
        <v>RONIVON ,RONIVON ,RONIVON ,RONIVON</v>
      </c>
      <c r="F41" t="str">
        <f>IF(VLOOKUP(A41,Original!I:N,6,0)=0,"Já pagou","Falta pagar")</f>
        <v>Falta pagar</v>
      </c>
      <c r="G41" s="7" t="str">
        <f t="shared" si="3"/>
        <v>Boa tarde boa tarde!! Seus números da rifa são os 113, 118, 131, 144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1" t="str">
        <f t="shared" si="4"/>
        <v>Boa%20tarde%20boa%20tarde!!%20Seus%20números%20da%20rifa%20são%20os%20113,%20118,%20131,%20144%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1" t="str">
        <f t="shared" si="5"/>
        <v>https://web.whatsapp.com/send/?phone=12035456330&amp;text=Boa%20tarde%20boa%20tarde!!%20Seus%20números%20da%20rifa%20são%20os%20113,%20118,%20131,%20144%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2" spans="1:9">
      <c r="A42" s="1">
        <f>Original!I70</f>
        <v>4752142518</v>
      </c>
      <c r="B42" s="1">
        <f>Original!J70</f>
        <v>1</v>
      </c>
      <c r="C42" s="1">
        <f>Original!K70</f>
        <v>0</v>
      </c>
      <c r="D42" s="1" t="str">
        <f>Original!L70</f>
        <v>114</v>
      </c>
      <c r="E42" s="1" t="str">
        <f>Original!M70</f>
        <v>Jonata</v>
      </c>
      <c r="F42" t="str">
        <f>IF(VLOOKUP(A42,Original!I:N,6,0)=0,"Já pagou","Falta pagar")</f>
        <v>Falta pagar</v>
      </c>
      <c r="G42" s="7" t="str">
        <f t="shared" si="3"/>
        <v>Boa tarde boa tarde!! Seu número da rifa é o 114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2" t="str">
        <f t="shared" si="4"/>
        <v>Boa%20tarde%20boa%20tarde!!%20Seu%20número%20da%20rifa%20é%20o%20114%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2" t="str">
        <f t="shared" si="5"/>
        <v>https://web.whatsapp.com/send/?phone=14752142518&amp;text=Boa%20tarde%20boa%20tarde!!%20Seu%20número%20da%20rifa%20é%20o%20114%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3" spans="1:9">
      <c r="A43" s="1">
        <f>Original!I71</f>
        <v>2034029369</v>
      </c>
      <c r="B43" s="1">
        <f>Original!J71</f>
        <v>1</v>
      </c>
      <c r="C43" s="1">
        <f>Original!K71</f>
        <v>1</v>
      </c>
      <c r="D43" s="1" t="str">
        <f>Original!L71</f>
        <v>117</v>
      </c>
      <c r="E43" s="1" t="str">
        <f>Original!M71</f>
        <v>Paulo pg</v>
      </c>
      <c r="F43" t="str">
        <f>IF(VLOOKUP(A43,Original!I:N,6,0)=0,"Já pagou","Falta pagar")</f>
        <v>Já pagou</v>
      </c>
      <c r="G43" s="7" t="str">
        <f t="shared" si="3"/>
        <v>Boa tarde boa tarde!! Seu número da rifa é o 117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3" t="str">
        <f t="shared" si="4"/>
        <v>Boa%20tarde%20boa%20tarde!!%20Seu%20número%20da%20rifa%20é%20o%20117%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3" t="str">
        <f t="shared" si="5"/>
        <v>https://web.whatsapp.com/send/?phone=12034029369&amp;text=Boa%20tarde%20boa%20tarde!!%20Seu%20número%20da%20rifa%20é%20o%20117%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4" spans="1:9">
      <c r="A44" s="1">
        <f>Original!I72</f>
        <v>2035218381</v>
      </c>
      <c r="B44" s="1">
        <f>Original!J72</f>
        <v>4</v>
      </c>
      <c r="C44" s="1">
        <f>Original!K72</f>
        <v>4</v>
      </c>
      <c r="D44" s="1" t="str">
        <f>Original!L72</f>
        <v>122, 177, 178, 279</v>
      </c>
      <c r="E44" s="1" t="str">
        <f>Original!M72</f>
        <v>Gilmar Schmidt pg ,Gilmar Schmidt pg ,Gilmar Schmidt pg ,Gilmar Schmidt (f)</v>
      </c>
      <c r="F44" t="str">
        <f>IF(VLOOKUP(A44,Original!I:N,6,0)=0,"Já pagou","Falta pagar")</f>
        <v>Já pagou</v>
      </c>
      <c r="G44" s="7" t="str">
        <f t="shared" si="3"/>
        <v>Boa tarde boa tarde!! Seus números da rifa são os 122, 177, 178, 279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4" t="str">
        <f t="shared" si="4"/>
        <v>Boa%20tarde%20boa%20tarde!!%20Seus%20números%20da%20rifa%20são%20os%20122,%20177,%20178,%20279%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4" t="str">
        <f t="shared" si="5"/>
        <v>https://web.whatsapp.com/send/?phone=12035218381&amp;text=Boa%20tarde%20boa%20tarde!!%20Seus%20números%20da%20rifa%20são%20os%20122,%20177,%20178,%20279%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5" spans="1:9">
      <c r="A45" s="1">
        <f>Original!I73</f>
        <v>9144979492</v>
      </c>
      <c r="B45" s="1">
        <f>Original!J73</f>
        <v>1</v>
      </c>
      <c r="C45" s="1">
        <f>Original!K73</f>
        <v>0</v>
      </c>
      <c r="D45" s="1" t="str">
        <f>Original!L73</f>
        <v>123</v>
      </c>
      <c r="E45" s="1" t="str">
        <f>Original!M73</f>
        <v>FABIANE</v>
      </c>
      <c r="F45" t="str">
        <f>IF(VLOOKUP(A45,Original!I:N,6,0)=0,"Já pagou","Falta pagar")</f>
        <v>Falta pagar</v>
      </c>
      <c r="G45" s="7" t="str">
        <f t="shared" si="3"/>
        <v>Boa tarde boa tarde!! Seu número da rifa é o 123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5" t="str">
        <f t="shared" si="4"/>
        <v>Boa%20tarde%20boa%20tarde!!%20Seu%20número%20da%20rifa%20é%20o%20123%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5" t="str">
        <f t="shared" si="5"/>
        <v>https://web.whatsapp.com/send/?phone=19144979492&amp;text=Boa%20tarde%20boa%20tarde!!%20Seu%20número%20da%20rifa%20é%20o%20123%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6" spans="1:9">
      <c r="A46" s="1">
        <f>Original!I74</f>
        <v>9149060181</v>
      </c>
      <c r="B46" s="1">
        <f>Original!J74</f>
        <v>1</v>
      </c>
      <c r="C46" s="1">
        <f>Original!K74</f>
        <v>1</v>
      </c>
      <c r="D46" s="1" t="str">
        <f>Original!L74</f>
        <v>125</v>
      </c>
      <c r="E46" s="1" t="str">
        <f>Original!M74</f>
        <v>MARCELO ZANETTI pg</v>
      </c>
      <c r="F46" t="str">
        <f>IF(VLOOKUP(A46,Original!I:N,6,0)=0,"Já pagou","Falta pagar")</f>
        <v>Já pagou</v>
      </c>
      <c r="G46" s="7" t="str">
        <f t="shared" si="3"/>
        <v>Boa tarde boa tarde!! Seu número da rifa é o 125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6" t="str">
        <f t="shared" si="4"/>
        <v>Boa%20tarde%20boa%20tarde!!%20Seu%20número%20da%20rifa%20é%20o%20125%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6" t="str">
        <f t="shared" si="5"/>
        <v>https://web.whatsapp.com/send/?phone=19149060181&amp;text=Boa%20tarde%20boa%20tarde!!%20Seu%20número%20da%20rifa%20é%20o%20125%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7" spans="1:9">
      <c r="A47" s="1">
        <f>Original!I75</f>
        <v>2039123543</v>
      </c>
      <c r="B47" s="1">
        <f>Original!J75</f>
        <v>3</v>
      </c>
      <c r="C47" s="1">
        <f>Original!K75</f>
        <v>0</v>
      </c>
      <c r="D47" s="1" t="str">
        <f>Original!L75</f>
        <v>127, 304, 361</v>
      </c>
      <c r="E47" s="1" t="str">
        <f>Original!M75</f>
        <v>MARIO ,Mário Paiva ,Mário Paiva</v>
      </c>
      <c r="F47" t="str">
        <f>IF(VLOOKUP(A47,Original!I:N,6,0)=0,"Já pagou","Falta pagar")</f>
        <v>Falta pagar</v>
      </c>
      <c r="G47" s="7" t="str">
        <f t="shared" si="3"/>
        <v>Boa tarde boa tarde!! Seus números da rifa são os 127, 304, 361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7" t="str">
        <f t="shared" si="4"/>
        <v>Boa%20tarde%20boa%20tarde!!%20Seus%20números%20da%20rifa%20são%20os%20127,%20304,%20361%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7" t="str">
        <f t="shared" si="5"/>
        <v>https://web.whatsapp.com/send/?phone=12039123543&amp;text=Boa%20tarde%20boa%20tarde!!%20Seus%20números%20da%20rifa%20são%20os%20127,%20304,%20361%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8" spans="1:9">
      <c r="A48" s="1">
        <f>Original!I76</f>
        <v>9145650041</v>
      </c>
      <c r="B48" s="1">
        <f>Original!J76</f>
        <v>5</v>
      </c>
      <c r="C48" s="1">
        <f>Original!K76</f>
        <v>2</v>
      </c>
      <c r="D48" s="1" t="str">
        <f>Original!L76</f>
        <v>77, 129, 283, 363, 383</v>
      </c>
      <c r="E48" s="1" t="str">
        <f>Original!M76</f>
        <v>ANDERSON ,HERNANE ,HERNANE ,HERNANE pg ,HERNANE pg</v>
      </c>
      <c r="F48" t="str">
        <f>IF(VLOOKUP(A48,Original!I:N,6,0)=0,"Já pagou","Falta pagar")</f>
        <v>Falta pagar</v>
      </c>
      <c r="G48" s="7" t="str">
        <f t="shared" si="3"/>
        <v>Boa tarde boa tarde!! Seus números da rifa são os 77, 129, 283, 363, 383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8" t="str">
        <f t="shared" si="4"/>
        <v>Boa%20tarde%20boa%20tarde!!%20Seus%20números%20da%20rifa%20são%20os%2077,%20129,%20283,%20363,%20383%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8" t="str">
        <f t="shared" si="5"/>
        <v>https://web.whatsapp.com/send/?phone=19145650041&amp;text=Boa%20tarde%20boa%20tarde!!%20Seus%20números%20da%20rifa%20são%20os%2077,%20129,%20283,%20363,%20383%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9" spans="1:9">
      <c r="A49" s="1">
        <f>Original!I77</f>
        <v>4752368737</v>
      </c>
      <c r="B49" s="1">
        <f>Original!J77</f>
        <v>3</v>
      </c>
      <c r="C49" s="1">
        <f>Original!K77</f>
        <v>1</v>
      </c>
      <c r="D49" s="1" t="str">
        <f>Original!L77</f>
        <v>130, 145, 421</v>
      </c>
      <c r="E49" s="1" t="str">
        <f>Original!M77</f>
        <v>Felipe Pimentel ,Felipe Pimentel (f) ,Felipe Pimentel</v>
      </c>
      <c r="F49" t="str">
        <f>IF(VLOOKUP(A49,Original!I:N,6,0)=0,"Já pagou","Falta pagar")</f>
        <v>Falta pagar</v>
      </c>
      <c r="G49" s="7" t="str">
        <f t="shared" si="3"/>
        <v>Boa tarde boa tarde!! Seus números da rifa são os 130, 145, 421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9" t="str">
        <f t="shared" si="4"/>
        <v>Boa%20tarde%20boa%20tarde!!%20Seus%20números%20da%20rifa%20são%20os%20130,%20145,%20421%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9" t="str">
        <f t="shared" si="5"/>
        <v>https://web.whatsapp.com/send/?phone=14752368737&amp;text=Boa%20tarde%20boa%20tarde!!%20Seus%20números%20da%20rifa%20são%20os%20130,%20145,%20421%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0" spans="1:9">
      <c r="A50" s="1">
        <f>Original!I78</f>
        <v>2032472211</v>
      </c>
      <c r="B50" s="1">
        <f>Original!J78</f>
        <v>2</v>
      </c>
      <c r="C50" s="1">
        <f>Original!K78</f>
        <v>0</v>
      </c>
      <c r="D50" s="1" t="str">
        <f>Original!L78</f>
        <v>132, 224</v>
      </c>
      <c r="E50" s="1" t="str">
        <f>Original!M78</f>
        <v>BRYAN ARAUJO ,BRYAN ARAUJO</v>
      </c>
      <c r="F50" t="str">
        <f>IF(VLOOKUP(A50,Original!I:N,6,0)=0,"Já pagou","Falta pagar")</f>
        <v>Falta pagar</v>
      </c>
      <c r="G50" s="7" t="str">
        <f t="shared" si="3"/>
        <v>Boa tarde boa tarde!! Seus números da rifa são os 132, 224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0" t="str">
        <f t="shared" si="4"/>
        <v>Boa%20tarde%20boa%20tarde!!%20Seus%20números%20da%20rifa%20são%20os%20132,%20224%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0" t="str">
        <f t="shared" si="5"/>
        <v>https://web.whatsapp.com/send/?phone=12032472211&amp;text=Boa%20tarde%20boa%20tarde!!%20Seus%20números%20da%20rifa%20são%20os%20132,%20224%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1" spans="1:9">
      <c r="A51" s="1">
        <f>Original!I79</f>
        <v>9146093241</v>
      </c>
      <c r="B51" s="1">
        <f>Original!J79</f>
        <v>1</v>
      </c>
      <c r="C51" s="1">
        <f>Original!K79</f>
        <v>1</v>
      </c>
      <c r="D51" s="1" t="str">
        <f>Original!L79</f>
        <v>133</v>
      </c>
      <c r="E51" s="1" t="str">
        <f>Original!M79</f>
        <v>RODRIGO Gonçalves pg</v>
      </c>
      <c r="F51" t="str">
        <f>IF(VLOOKUP(A51,Original!I:N,6,0)=0,"Já pagou","Falta pagar")</f>
        <v>Já pagou</v>
      </c>
      <c r="G51" s="7" t="str">
        <f t="shared" si="3"/>
        <v>Boa tarde boa tarde!! Seu número da rifa é o 133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1" t="str">
        <f t="shared" si="4"/>
        <v>Boa%20tarde%20boa%20tarde!!%20Seu%20número%20da%20rifa%20é%20o%20133%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1" t="str">
        <f t="shared" si="5"/>
        <v>https://web.whatsapp.com/send/?phone=19146093241&amp;text=Boa%20tarde%20boa%20tarde!!%20Seu%20número%20da%20rifa%20é%20o%20133%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2" spans="1:9">
      <c r="A52" s="1">
        <f>Original!I80</f>
        <v>2038647378</v>
      </c>
      <c r="B52" s="1">
        <f>Original!J80</f>
        <v>1</v>
      </c>
      <c r="C52" s="1">
        <f>Original!K80</f>
        <v>0</v>
      </c>
      <c r="D52" s="1" t="str">
        <f>Original!L80</f>
        <v>135</v>
      </c>
      <c r="E52" s="1" t="str">
        <f>Original!M80</f>
        <v>MARCOS SILVA</v>
      </c>
      <c r="F52" t="str">
        <f>IF(VLOOKUP(A52,Original!I:N,6,0)=0,"Já pagou","Falta pagar")</f>
        <v>Falta pagar</v>
      </c>
      <c r="G52" s="7" t="str">
        <f t="shared" si="3"/>
        <v>Boa tarde boa tarde!! Seu número da rifa é o 135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2" t="str">
        <f t="shared" si="4"/>
        <v>Boa%20tarde%20boa%20tarde!!%20Seu%20número%20da%20rifa%20é%20o%20135%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2" t="str">
        <f t="shared" si="5"/>
        <v>https://web.whatsapp.com/send/?phone=12038647378&amp;text=Boa%20tarde%20boa%20tarde!!%20Seu%20número%20da%20rifa%20é%20o%20135%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3" spans="1:9">
      <c r="A53" s="1">
        <f>Original!I81</f>
        <v>9145654952</v>
      </c>
      <c r="B53" s="1">
        <f>Original!J81</f>
        <v>1</v>
      </c>
      <c r="C53" s="1">
        <f>Original!K81</f>
        <v>0</v>
      </c>
      <c r="D53" s="1" t="str">
        <f>Original!L81</f>
        <v>136</v>
      </c>
      <c r="E53" s="1" t="str">
        <f>Original!M81</f>
        <v>MARCELO MORENO</v>
      </c>
      <c r="F53" t="str">
        <f>IF(VLOOKUP(A53,Original!I:N,6,0)=0,"Já pagou","Falta pagar")</f>
        <v>Falta pagar</v>
      </c>
      <c r="G53" s="7" t="str">
        <f t="shared" si="3"/>
        <v>Boa tarde boa tarde!! Seu número da rifa é o 136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3" t="str">
        <f t="shared" si="4"/>
        <v>Boa%20tarde%20boa%20tarde!!%20Seu%20número%20da%20rifa%20é%20o%20136%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3" t="str">
        <f t="shared" si="5"/>
        <v>https://web.whatsapp.com/send/?phone=19145654952&amp;text=Boa%20tarde%20boa%20tarde!!%20Seu%20número%20da%20rifa%20é%20o%20136%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4" spans="1:9">
      <c r="A54" s="1">
        <f>Original!I82</f>
        <v>2038985149</v>
      </c>
      <c r="B54" s="1">
        <f>Original!J82</f>
        <v>3</v>
      </c>
      <c r="C54" s="1">
        <f>Original!K82</f>
        <v>1</v>
      </c>
      <c r="D54" s="1" t="str">
        <f>Original!L82</f>
        <v>138, 139, 234</v>
      </c>
      <c r="E54" s="1" t="str">
        <f>Original!M82</f>
        <v>Fábio Albino ,Fábio Albino ,Fábio Albino (f)</v>
      </c>
      <c r="F54" t="str">
        <f>IF(VLOOKUP(A54,Original!I:N,6,0)=0,"Já pagou","Falta pagar")</f>
        <v>Falta pagar</v>
      </c>
      <c r="G54" s="7" t="str">
        <f t="shared" si="3"/>
        <v>Boa tarde boa tarde!! Seus números da rifa são os 138, 139, 234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4" t="str">
        <f t="shared" si="4"/>
        <v>Boa%20tarde%20boa%20tarde!!%20Seus%20números%20da%20rifa%20são%20os%20138,%20139,%20234%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4" t="str">
        <f t="shared" si="5"/>
        <v>https://web.whatsapp.com/send/?phone=12038985149&amp;text=Boa%20tarde%20boa%20tarde!!%20Seus%20números%20da%20rifa%20são%20os%20138,%20139,%20234%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5" spans="1:9">
      <c r="A55" s="1">
        <f>Original!I83</f>
        <v>9146095697</v>
      </c>
      <c r="B55" s="1">
        <f>Original!J83</f>
        <v>6</v>
      </c>
      <c r="C55" s="1">
        <f>Original!K83</f>
        <v>6</v>
      </c>
      <c r="D55" s="1" t="str">
        <f>Original!L83</f>
        <v>140, 272, 275, 298, 385, 488</v>
      </c>
      <c r="E55" s="1" t="str">
        <f>Original!M83</f>
        <v>L&amp;m wood floor pg ,L&amp;m wood floor pg ,L&amp;M WOOD FLOOR pg ,L&amp;M wood floor pg ,L&amp;M wood floor (f) ,L&amp;m wood floor (f)</v>
      </c>
      <c r="F55" t="str">
        <f>IF(VLOOKUP(A55,Original!I:N,6,0)=0,"Já pagou","Falta pagar")</f>
        <v>Já pagou</v>
      </c>
      <c r="G55" s="7" t="str">
        <f t="shared" si="3"/>
        <v>Boa tarde boa tarde!! Seus números da rifa são os 140, 272, 275, 298, 385, 488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5" t="str">
        <f t="shared" si="4"/>
        <v>Boa%20tarde%20boa%20tarde!!%20Seus%20números%20da%20rifa%20são%20os%20140,%20272,%20275,%20298,%20385,%20488%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5" t="str">
        <f t="shared" si="5"/>
        <v>https://web.whatsapp.com/send/?phone=19146095697&amp;text=Boa%20tarde%20boa%20tarde!!%20Seus%20números%20da%20rifa%20são%20os%20140,%20272,%20275,%20298,%20385,%20488%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6" spans="1:9">
      <c r="A56" s="1">
        <f>Original!I84</f>
        <v>9147740936</v>
      </c>
      <c r="B56" s="1">
        <f>Original!J84</f>
        <v>3</v>
      </c>
      <c r="C56" s="1">
        <f>Original!K84</f>
        <v>3</v>
      </c>
      <c r="D56" s="1" t="str">
        <f>Original!L84</f>
        <v>142, 367, 467</v>
      </c>
      <c r="E56" s="1" t="str">
        <f>Original!M84</f>
        <v>Gustavo Freitas pg ,Gustavo Freitas pg ,Gustavo freitas (f)</v>
      </c>
      <c r="F56" t="str">
        <f>IF(VLOOKUP(A56,Original!I:N,6,0)=0,"Já pagou","Falta pagar")</f>
        <v>Já pagou</v>
      </c>
      <c r="G56" s="7" t="str">
        <f t="shared" si="3"/>
        <v>Boa tarde boa tarde!! Seus números da rifa são os 142, 367, 467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6" t="str">
        <f t="shared" si="4"/>
        <v>Boa%20tarde%20boa%20tarde!!%20Seus%20números%20da%20rifa%20são%20os%20142,%20367,%20467%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6" t="str">
        <f t="shared" si="5"/>
        <v>https://web.whatsapp.com/send/?phone=19147740936&amp;text=Boa%20tarde%20boa%20tarde!!%20Seus%20números%20da%20rifa%20são%20os%20142,%20367,%20467%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7" spans="1:9">
      <c r="A57" s="1">
        <f>Original!I85</f>
        <v>9144862420</v>
      </c>
      <c r="B57" s="1">
        <f>Original!J85</f>
        <v>1</v>
      </c>
      <c r="C57" s="1">
        <f>Original!K85</f>
        <v>1</v>
      </c>
      <c r="D57" s="1" t="str">
        <f>Original!L85</f>
        <v>143</v>
      </c>
      <c r="E57" s="1" t="str">
        <f>Original!M85</f>
        <v>GUILHER BORGES pg</v>
      </c>
      <c r="F57" t="str">
        <f>IF(VLOOKUP(A57,Original!I:N,6,0)=0,"Já pagou","Falta pagar")</f>
        <v>Já pagou</v>
      </c>
      <c r="G57" s="7" t="str">
        <f t="shared" si="3"/>
        <v>Boa tarde boa tarde!! Seu número da rifa é o 143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7" t="str">
        <f t="shared" si="4"/>
        <v>Boa%20tarde%20boa%20tarde!!%20Seu%20número%20da%20rifa%20é%20o%20143%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7" t="str">
        <f t="shared" si="5"/>
        <v>https://web.whatsapp.com/send/?phone=19144862420&amp;text=Boa%20tarde%20boa%20tarde!!%20Seu%20número%20da%20rifa%20é%20o%20143%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8" spans="1:9">
      <c r="A58" s="1">
        <f>Original!I86</f>
        <v>9144901203</v>
      </c>
      <c r="B58" s="1">
        <f>Original!J86</f>
        <v>2</v>
      </c>
      <c r="C58" s="1">
        <f>Original!K86</f>
        <v>2</v>
      </c>
      <c r="D58" s="1" t="str">
        <f>Original!L86</f>
        <v>146, 377</v>
      </c>
      <c r="E58" s="1" t="str">
        <f>Original!M86</f>
        <v>WENDER pg ,WENDER pg</v>
      </c>
      <c r="F58" t="str">
        <f>IF(VLOOKUP(A58,Original!I:N,6,0)=0,"Já pagou","Falta pagar")</f>
        <v>Já pagou</v>
      </c>
      <c r="G58" s="7" t="str">
        <f t="shared" si="3"/>
        <v>Boa tarde boa tarde!! Seus números da rifa são os 146, 377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8" t="str">
        <f t="shared" si="4"/>
        <v>Boa%20tarde%20boa%20tarde!!%20Seus%20números%20da%20rifa%20são%20os%20146,%20377%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8" t="str">
        <f t="shared" si="5"/>
        <v>https://web.whatsapp.com/send/?phone=19144901203&amp;text=Boa%20tarde%20boa%20tarde!!%20Seus%20números%20da%20rifa%20são%20os%20146,%20377%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9" spans="1:9">
      <c r="A59" s="1">
        <f>Original!I87</f>
        <v>9144175819</v>
      </c>
      <c r="B59" s="1">
        <f>Original!J87</f>
        <v>3</v>
      </c>
      <c r="C59" s="1">
        <f>Original!K87</f>
        <v>3</v>
      </c>
      <c r="D59" s="1" t="str">
        <f>Original!L87</f>
        <v>147, 313, 372</v>
      </c>
      <c r="E59" s="1" t="str">
        <f>Original!M87</f>
        <v>ANDERSON POLICARPO pg ,ANDERSON POLICARPO pg ,ANDERSON POLICARPO pg</v>
      </c>
      <c r="F59" t="str">
        <f>IF(VLOOKUP(A59,Original!I:N,6,0)=0,"Já pagou","Falta pagar")</f>
        <v>Já pagou</v>
      </c>
      <c r="G59" s="7" t="str">
        <f t="shared" si="3"/>
        <v>Boa tarde boa tarde!! Seus números da rifa são os 147, 313, 372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9" t="str">
        <f t="shared" si="4"/>
        <v>Boa%20tarde%20boa%20tarde!!%20Seus%20números%20da%20rifa%20são%20os%20147,%20313,%20372%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9" t="str">
        <f t="shared" si="5"/>
        <v>https://web.whatsapp.com/send/?phone=19144175819&amp;text=Boa%20tarde%20boa%20tarde!!%20Seus%20números%20da%20rifa%20são%20os%20147,%20313,%20372%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0" spans="1:9">
      <c r="A60" s="1">
        <f>Original!I88</f>
        <v>9144381725</v>
      </c>
      <c r="B60" s="1">
        <f>Original!J88</f>
        <v>3</v>
      </c>
      <c r="C60" s="1">
        <f>Original!K88</f>
        <v>3</v>
      </c>
      <c r="D60" s="1" t="str">
        <f>Original!L88</f>
        <v>148, 215, 428</v>
      </c>
      <c r="E60" s="1" t="str">
        <f>Original!M88</f>
        <v>Juliano Farias /gustavo pg ,Juliano Farias /gustavo pg ,Juliano fritas / Gustavo (f)</v>
      </c>
      <c r="F60" t="str">
        <f>IF(VLOOKUP(A60,Original!I:N,6,0)=0,"Já pagou","Falta pagar")</f>
        <v>Já pagou</v>
      </c>
      <c r="G60" s="7" t="str">
        <f t="shared" si="3"/>
        <v>Boa tarde boa tarde!! Seus números da rifa são os 148, 215, 428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0" t="str">
        <f t="shared" si="4"/>
        <v>Boa%20tarde%20boa%20tarde!!%20Seus%20números%20da%20rifa%20são%20os%20148,%20215,%20428%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0" t="str">
        <f t="shared" si="5"/>
        <v>https://web.whatsapp.com/send/?phone=19144381725&amp;text=Boa%20tarde%20boa%20tarde!!%20Seus%20números%20da%20rifa%20são%20os%20148,%20215,%20428%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1" spans="1:9">
      <c r="A61" s="1">
        <f>Original!I89</f>
        <v>9148069703</v>
      </c>
      <c r="B61" s="1">
        <f>Original!J89</f>
        <v>2</v>
      </c>
      <c r="C61" s="1">
        <f>Original!K89</f>
        <v>0</v>
      </c>
      <c r="D61" s="1" t="str">
        <f>Original!L89</f>
        <v>149, 155</v>
      </c>
      <c r="E61" s="1" t="str">
        <f>Original!M89</f>
        <v>CLAUDIO (DINHO ) ,CLAUDIO (DINHO0</v>
      </c>
      <c r="F61" t="str">
        <f>IF(VLOOKUP(A61,Original!I:N,6,0)=0,"Já pagou","Falta pagar")</f>
        <v>Falta pagar</v>
      </c>
      <c r="G61" s="7" t="str">
        <f t="shared" si="3"/>
        <v>Boa tarde boa tarde!! Seus números da rifa são os 149, 155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1" t="str">
        <f t="shared" si="4"/>
        <v>Boa%20tarde%20boa%20tarde!!%20Seus%20números%20da%20rifa%20são%20os%20149,%20155%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1" t="str">
        <f t="shared" si="5"/>
        <v>https://web.whatsapp.com/send/?phone=19148069703&amp;text=Boa%20tarde%20boa%20tarde!!%20Seus%20números%20da%20rifa%20são%20os%20149,%20155%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2" spans="1:9">
      <c r="A62" s="1">
        <f>Original!I90</f>
        <v>2039524111</v>
      </c>
      <c r="B62" s="1">
        <f>Original!J90</f>
        <v>3</v>
      </c>
      <c r="C62" s="1">
        <f>Original!K90</f>
        <v>1</v>
      </c>
      <c r="D62" s="1" t="str">
        <f>Original!L90</f>
        <v>151, 202, 360</v>
      </c>
      <c r="E62" s="1" t="str">
        <f>Original!M90</f>
        <v>Leandro at lpslimo ,Leandro at lpslimo ,Leandro at lpslimo (f)</v>
      </c>
      <c r="F62" t="str">
        <f>IF(VLOOKUP(A62,Original!I:N,6,0)=0,"Já pagou","Falta pagar")</f>
        <v>Falta pagar</v>
      </c>
      <c r="G62" s="7" t="str">
        <f t="shared" si="3"/>
        <v>Boa tarde boa tarde!! Seus números da rifa são os 151, 202, 360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2" t="str">
        <f t="shared" si="4"/>
        <v>Boa%20tarde%20boa%20tarde!!%20Seus%20números%20da%20rifa%20são%20os%20151,%20202,%20360%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2" t="str">
        <f t="shared" si="5"/>
        <v>https://web.whatsapp.com/send/?phone=12039524111&amp;text=Boa%20tarde%20boa%20tarde!!%20Seus%20números%20da%20rifa%20são%20os%20151,%20202,%20360%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3" spans="1:9">
      <c r="A63" s="1">
        <f>Original!I91</f>
        <v>2039804388</v>
      </c>
      <c r="B63" s="1">
        <f>Original!J91</f>
        <v>1</v>
      </c>
      <c r="C63" s="1">
        <f>Original!K91</f>
        <v>1</v>
      </c>
      <c r="D63" s="1" t="str">
        <f>Original!L91</f>
        <v>152</v>
      </c>
      <c r="E63" s="1" t="str">
        <f>Original!M91</f>
        <v>Afonso Eletrrcista pg</v>
      </c>
      <c r="F63" t="str">
        <f>IF(VLOOKUP(A63,Original!I:N,6,0)=0,"Já pagou","Falta pagar")</f>
        <v>Já pagou</v>
      </c>
      <c r="G63" s="7" t="str">
        <f t="shared" si="3"/>
        <v>Boa tarde boa tarde!! Seu número da rifa é o 152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3" t="str">
        <f t="shared" si="4"/>
        <v>Boa%20tarde%20boa%20tarde!!%20Seu%20número%20da%20rifa%20é%20o%20152%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3" t="str">
        <f t="shared" si="5"/>
        <v>https://web.whatsapp.com/send/?phone=12039804388&amp;text=Boa%20tarde%20boa%20tarde!!%20Seu%20número%20da%20rifa%20é%20o%20152%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4" spans="1:9">
      <c r="A64" s="1">
        <f>Original!I92</f>
        <v>2035591129</v>
      </c>
      <c r="B64" s="1">
        <f>Original!J92</f>
        <v>3</v>
      </c>
      <c r="C64" s="1">
        <f>Original!K92</f>
        <v>3</v>
      </c>
      <c r="D64" s="1" t="str">
        <f>Original!L92</f>
        <v>153, 158, 160</v>
      </c>
      <c r="E64" s="1" t="str">
        <f>Original!M92</f>
        <v>Fernando Carvalho pg ,Fernando Carvalho pg ,Fernando Carvalho (f)</v>
      </c>
      <c r="F64" t="str">
        <f>IF(VLOOKUP(A64,Original!I:N,6,0)=0,"Já pagou","Falta pagar")</f>
        <v>Já pagou</v>
      </c>
      <c r="G64" s="7" t="str">
        <f t="shared" si="3"/>
        <v>Boa tarde boa tarde!! Seus números da rifa são os 153, 158, 160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4" t="str">
        <f t="shared" si="4"/>
        <v>Boa%20tarde%20boa%20tarde!!%20Seus%20números%20da%20rifa%20são%20os%20153,%20158,%20160%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4" t="str">
        <f t="shared" si="5"/>
        <v>https://web.whatsapp.com/send/?phone=12035591129&amp;text=Boa%20tarde%20boa%20tarde!!%20Seus%20números%20da%20rifa%20são%20os%20153,%20158,%20160%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5" spans="1:9">
      <c r="A65" s="1">
        <f>Original!I93</f>
        <v>9143569767</v>
      </c>
      <c r="B65" s="1">
        <f>Original!J93</f>
        <v>3</v>
      </c>
      <c r="C65" s="1">
        <f>Original!K93</f>
        <v>3</v>
      </c>
      <c r="D65" s="1" t="str">
        <f>Original!L93</f>
        <v>154, 350, 490</v>
      </c>
      <c r="E65" s="1" t="str">
        <f>Original!M93</f>
        <v>Eduardo tile pg ,Eduardo tile (f) ,Eduardo tile pg</v>
      </c>
      <c r="F65" t="str">
        <f>IF(VLOOKUP(A65,Original!I:N,6,0)=0,"Já pagou","Falta pagar")</f>
        <v>Já pagou</v>
      </c>
      <c r="G65" s="7" t="str">
        <f t="shared" si="3"/>
        <v>Boa tarde boa tarde!! Seus números da rifa são os 154, 350, 490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5" t="str">
        <f t="shared" si="4"/>
        <v>Boa%20tarde%20boa%20tarde!!%20Seus%20números%20da%20rifa%20são%20os%20154,%20350,%20490%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5" t="str">
        <f t="shared" si="5"/>
        <v>https://web.whatsapp.com/send/?phone=19143569767&amp;text=Boa%20tarde%20boa%20tarde!!%20Seus%20números%20da%20rifa%20são%20os%20154,%20350,%20490%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6" spans="1:9">
      <c r="A66" s="1">
        <f>Original!I94</f>
        <v>9144904255</v>
      </c>
      <c r="B66" s="1">
        <f>Original!J94</f>
        <v>6</v>
      </c>
      <c r="C66" s="1">
        <f>Original!K94</f>
        <v>6</v>
      </c>
      <c r="D66" s="1" t="str">
        <f>Original!L94</f>
        <v>156, 241, 342, 349, 355, 430</v>
      </c>
      <c r="E66" s="1" t="str">
        <f>Original!M94</f>
        <v>Carlos Serafim (f) ,CARLOS SERAFIM pg ,CARLOS SERAFIM. Pg ,PEDRO CARLOS pg ,Carlos Serafim Pg ,Carlos Serafim pg</v>
      </c>
      <c r="F66" t="str">
        <f>IF(VLOOKUP(A66,Original!I:N,6,0)=0,"Já pagou","Falta pagar")</f>
        <v>Já pagou</v>
      </c>
      <c r="G66" s="7" t="str">
        <f t="shared" si="3"/>
        <v>Boa tarde boa tarde!! Seus números da rifa são os 156, 241, 342, 349, 355, 430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6" t="str">
        <f t="shared" si="4"/>
        <v>Boa%20tarde%20boa%20tarde!!%20Seus%20números%20da%20rifa%20são%20os%20156,%20241,%20342,%20349,%20355,%20430%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6" t="str">
        <f t="shared" si="5"/>
        <v>https://web.whatsapp.com/send/?phone=19144904255&amp;text=Boa%20tarde%20boa%20tarde!!%20Seus%20números%20da%20rifa%20são%20os%20156,%20241,%20342,%20349,%20355,%20430%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7" spans="1:9">
      <c r="A67" s="1">
        <f>Original!I95</f>
        <v>5511961917900</v>
      </c>
      <c r="B67" s="1">
        <f>Original!J95</f>
        <v>6</v>
      </c>
      <c r="C67" s="1">
        <f>Original!K95</f>
        <v>1</v>
      </c>
      <c r="D67" s="1" t="str">
        <f>Original!L95</f>
        <v>157, 161, 260, 417, 442, 457</v>
      </c>
      <c r="E67" s="1" t="str">
        <f>Original!M95</f>
        <v>KARLA ,KARLA ,Karla Panela (f) ,Karla panela ,Karla ,Karla Pamela</v>
      </c>
      <c r="F67" t="str">
        <f>IF(VLOOKUP(A67,Original!I:N,6,0)=0,"Já pagou","Falta pagar")</f>
        <v>Falta pagar</v>
      </c>
      <c r="G67" s="7" t="str">
        <f t="shared" si="3"/>
        <v>Boa tarde boa tarde!! Seus números da rifa são os 157, 161, 260, 417, 442, 457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7" t="str">
        <f t="shared" si="4"/>
        <v>Boa%20tarde%20boa%20tarde!!%20Seus%20números%20da%20rifa%20são%20os%20157,%20161,%20260,%20417,%20442,%20457%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7" t="str">
        <f t="shared" si="5"/>
        <v>https://web.whatsapp.com/send/?phone=5511961917900&amp;text=Boa%20tarde%20boa%20tarde!!%20Seus%20números%20da%20rifa%20são%20os%20157,%20161,%20260,%20417,%20442,%20457%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8" spans="1:9">
      <c r="A68" s="1">
        <f>Original!I96</f>
        <v>9144269391</v>
      </c>
      <c r="B68" s="1">
        <f>Original!J96</f>
        <v>4</v>
      </c>
      <c r="C68" s="1">
        <f>Original!K96</f>
        <v>1</v>
      </c>
      <c r="D68" s="1" t="str">
        <f>Original!L96</f>
        <v>162, 297, 354, 491</v>
      </c>
      <c r="E68" s="1" t="str">
        <f>Original!M96</f>
        <v>Wellington Santana ,Wellington Santana ,Wellington Santana (f) ,Wellington Santana</v>
      </c>
      <c r="F68" t="str">
        <f>IF(VLOOKUP(A68,Original!I:N,6,0)=0,"Já pagou","Falta pagar")</f>
        <v>Falta pagar</v>
      </c>
      <c r="G68" s="7" t="str">
        <f t="shared" si="3"/>
        <v>Boa tarde boa tarde!! Seus números da rifa são os 162, 297, 354, 491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8" t="str">
        <f t="shared" si="4"/>
        <v>Boa%20tarde%20boa%20tarde!!%20Seus%20números%20da%20rifa%20são%20os%20162,%20297,%20354,%20491%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8" t="str">
        <f t="shared" si="5"/>
        <v>https://web.whatsapp.com/send/?phone=19144269391&amp;text=Boa%20tarde%20boa%20tarde!!%20Seus%20números%20da%20rifa%20são%20os%20162,%20297,%20354,%20491%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9" spans="1:9">
      <c r="A69" s="1">
        <f>Original!I97</f>
        <v>4754194333</v>
      </c>
      <c r="B69" s="1">
        <f>Original!J97</f>
        <v>2</v>
      </c>
      <c r="C69" s="1">
        <f>Original!K97</f>
        <v>2</v>
      </c>
      <c r="D69" s="1" t="str">
        <f>Original!L97</f>
        <v>163, 339</v>
      </c>
      <c r="E69" s="1" t="str">
        <f>Original!M97</f>
        <v>FABIO BORCA K pg ,FABIO BORA k pg</v>
      </c>
      <c r="F69" t="str">
        <f>IF(VLOOKUP(A69,Original!I:N,6,0)=0,"Já pagou","Falta pagar")</f>
        <v>Já pagou</v>
      </c>
      <c r="G69" s="7" t="str">
        <f t="shared" si="3"/>
        <v>Boa tarde boa tarde!! Seus números da rifa são os 163, 339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9" t="str">
        <f t="shared" si="4"/>
        <v>Boa%20tarde%20boa%20tarde!!%20Seus%20números%20da%20rifa%20são%20os%20163,%20339%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9" t="str">
        <f t="shared" si="5"/>
        <v>https://web.whatsapp.com/send/?phone=14754194333&amp;text=Boa%20tarde%20boa%20tarde!!%20Seus%20números%20da%20rifa%20são%20os%20163,%20339%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0" spans="1:9">
      <c r="A70" s="1">
        <f>Original!I98</f>
        <v>9145620301</v>
      </c>
      <c r="B70" s="1">
        <f>Original!J98</f>
        <v>5</v>
      </c>
      <c r="C70" s="1">
        <f>Original!K98</f>
        <v>1</v>
      </c>
      <c r="D70" s="1" t="str">
        <f>Original!L98</f>
        <v>164, 165, 166, 296, 396</v>
      </c>
      <c r="E70" s="1" t="str">
        <f>Original!M98</f>
        <v>Júnior faca ,Júnior faca ,Júnior faca (f) ,JUNIOR GORDO ,JUNIOR GORDO</v>
      </c>
      <c r="F70" t="str">
        <f>IF(VLOOKUP(A70,Original!I:N,6,0)=0,"Já pagou","Falta pagar")</f>
        <v>Falta pagar</v>
      </c>
      <c r="G70" s="7" t="str">
        <f t="shared" si="3"/>
        <v>Boa tarde boa tarde!! Seus números da rifa são os 164, 165, 166, 296, 396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0" t="str">
        <f t="shared" si="4"/>
        <v>Boa%20tarde%20boa%20tarde!!%20Seus%20números%20da%20rifa%20são%20os%20164,%20165,%20166,%20296,%20396%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0" t="str">
        <f t="shared" si="5"/>
        <v>https://web.whatsapp.com/send/?phone=19145620301&amp;text=Boa%20tarde%20boa%20tarde!!%20Seus%20números%20da%20rifa%20são%20os%20164,%20165,%20166,%20296,%20396%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1" spans="1:9">
      <c r="A71" s="1">
        <f>Original!I99</f>
        <v>2035360916</v>
      </c>
      <c r="B71" s="1">
        <f>Original!J99</f>
        <v>3</v>
      </c>
      <c r="C71" s="1">
        <f>Original!K99</f>
        <v>1</v>
      </c>
      <c r="D71" s="1" t="str">
        <f>Original!L99</f>
        <v>170, 231, 461</v>
      </c>
      <c r="E71" s="1" t="str">
        <f>Original!M99</f>
        <v>Adalberto Martins ,Adalberto Martins ,Adalberto Martins (f)</v>
      </c>
      <c r="F71" t="str">
        <f>IF(VLOOKUP(A71,Original!I:N,6,0)=0,"Já pagou","Falta pagar")</f>
        <v>Falta pagar</v>
      </c>
      <c r="G71" s="7" t="str">
        <f t="shared" si="3"/>
        <v>Boa tarde boa tarde!! Seus números da rifa são os 170, 231, 461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1" t="str">
        <f t="shared" si="4"/>
        <v>Boa%20tarde%20boa%20tarde!!%20Seus%20números%20da%20rifa%20são%20os%20170,%20231,%20461%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1" t="str">
        <f t="shared" si="5"/>
        <v>https://web.whatsapp.com/send/?phone=12035360916&amp;text=Boa%20tarde%20boa%20tarde!!%20Seus%20números%20da%20rifa%20são%20os%20170,%20231,%20461%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2" spans="1:9">
      <c r="A72" s="1">
        <f>Original!I100</f>
        <v>4754493737</v>
      </c>
      <c r="B72" s="1">
        <f>Original!J100</f>
        <v>1</v>
      </c>
      <c r="C72" s="1">
        <f>Original!K100</f>
        <v>1</v>
      </c>
      <c r="D72" s="1" t="str">
        <f>Original!L100</f>
        <v>172</v>
      </c>
      <c r="E72" s="1" t="str">
        <f>Original!M100</f>
        <v>ALAN COSTA pg</v>
      </c>
      <c r="F72" t="str">
        <f>IF(VLOOKUP(A72,Original!I:N,6,0)=0,"Já pagou","Falta pagar")</f>
        <v>Já pagou</v>
      </c>
      <c r="G72" s="7" t="str">
        <f t="shared" si="3"/>
        <v>Boa tarde boa tarde!! Seu número da rifa é o 172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2" t="str">
        <f t="shared" si="4"/>
        <v>Boa%20tarde%20boa%20tarde!!%20Seu%20número%20da%20rifa%20é%20o%20172%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2" t="str">
        <f t="shared" si="5"/>
        <v>https://web.whatsapp.com/send/?phone=14754493737&amp;text=Boa%20tarde%20boa%20tarde!!%20Seu%20número%20da%20rifa%20é%20o%20172%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3" spans="1:9">
      <c r="A73" s="1">
        <f>Original!I101</f>
        <v>4754496806</v>
      </c>
      <c r="B73" s="1">
        <f>Original!J101</f>
        <v>3</v>
      </c>
      <c r="C73" s="1">
        <f>Original!K101</f>
        <v>3</v>
      </c>
      <c r="D73" s="1" t="str">
        <f>Original!L101</f>
        <v>179, 444, 497</v>
      </c>
      <c r="E73" s="1" t="str">
        <f>Original!M101</f>
        <v>SIMARA show car pg ,ADILSON pg ,ADILSON pg</v>
      </c>
      <c r="F73" t="str">
        <f>IF(VLOOKUP(A73,Original!I:N,6,0)=0,"Já pagou","Falta pagar")</f>
        <v>Já pagou</v>
      </c>
      <c r="G73" s="7" t="str">
        <f t="shared" si="3"/>
        <v>Boa tarde boa tarde!! Seus números da rifa são os 179, 444, 497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3" t="str">
        <f t="shared" si="4"/>
        <v>Boa%20tarde%20boa%20tarde!!%20Seus%20números%20da%20rifa%20são%20os%20179,%20444,%20497%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3" t="str">
        <f t="shared" si="5"/>
        <v>https://web.whatsapp.com/send/?phone=14754496806&amp;text=Boa%20tarde%20boa%20tarde!!%20Seus%20números%20da%20rifa%20são%20os%20179,%20444,%20497%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4" spans="1:9">
      <c r="A74" s="1">
        <f>Original!I102</f>
        <v>2035406751</v>
      </c>
      <c r="B74" s="1">
        <f>Original!J102</f>
        <v>3</v>
      </c>
      <c r="C74" s="1">
        <f>Original!K102</f>
        <v>3</v>
      </c>
      <c r="D74" s="1" t="str">
        <f>Original!L102</f>
        <v>180, 365, 420</v>
      </c>
      <c r="E74" s="1" t="str">
        <f>Original!M102</f>
        <v>Bola de fogo pg ,BOLA de fogo (f) ,Bola de fogo pg</v>
      </c>
      <c r="F74" t="str">
        <f>IF(VLOOKUP(A74,Original!I:N,6,0)=0,"Já pagou","Falta pagar")</f>
        <v>Já pagou</v>
      </c>
      <c r="G74" s="7" t="str">
        <f t="shared" si="3"/>
        <v>Boa tarde boa tarde!! Seus números da rifa são os 180, 365, 420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4" t="str">
        <f t="shared" si="4"/>
        <v>Boa%20tarde%20boa%20tarde!!%20Seus%20números%20da%20rifa%20são%20os%20180,%20365,%20420%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4" t="str">
        <f t="shared" si="5"/>
        <v>https://web.whatsapp.com/send/?phone=12035406751&amp;text=Boa%20tarde%20boa%20tarde!!%20Seus%20números%20da%20rifa%20são%20os%20180,%20365,%20420%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5" spans="1:9">
      <c r="A75" s="1">
        <f>Original!I103</f>
        <v>2034494860</v>
      </c>
      <c r="B75" s="1">
        <f>Original!J103</f>
        <v>2</v>
      </c>
      <c r="C75" s="1">
        <f>Original!K103</f>
        <v>2</v>
      </c>
      <c r="D75" s="1" t="str">
        <f>Original!L103</f>
        <v>182, 265</v>
      </c>
      <c r="E75" s="1" t="str">
        <f>Original!M103</f>
        <v>SARMENTO pg ,SARMENTO pg</v>
      </c>
      <c r="F75" t="str">
        <f>IF(VLOOKUP(A75,Original!I:N,6,0)=0,"Já pagou","Falta pagar")</f>
        <v>Já pagou</v>
      </c>
      <c r="G75" s="7" t="str">
        <f t="shared" si="3"/>
        <v>Boa tarde boa tarde!! Seus números da rifa são os 182, 265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5" t="str">
        <f t="shared" si="4"/>
        <v>Boa%20tarde%20boa%20tarde!!%20Seus%20números%20da%20rifa%20são%20os%20182,%20265%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5" t="str">
        <f t="shared" si="5"/>
        <v>https://web.whatsapp.com/send/?phone=12034494860&amp;text=Boa%20tarde%20boa%20tarde!!%20Seus%20números%20da%20rifa%20são%20os%20182,%20265%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6" spans="1:9">
      <c r="A76" s="1">
        <f>Original!I104</f>
        <v>6465429753</v>
      </c>
      <c r="B76" s="1">
        <f>Original!J104</f>
        <v>1</v>
      </c>
      <c r="C76" s="1">
        <f>Original!K104</f>
        <v>1</v>
      </c>
      <c r="D76" s="1" t="str">
        <f>Original!L104</f>
        <v>185</v>
      </c>
      <c r="E76" s="1" t="str">
        <f>Original!M104</f>
        <v>DENILSON pg</v>
      </c>
      <c r="F76" t="str">
        <f>IF(VLOOKUP(A76,Original!I:N,6,0)=0,"Já pagou","Falta pagar")</f>
        <v>Já pagou</v>
      </c>
      <c r="G76" s="7" t="str">
        <f t="shared" si="3"/>
        <v>Boa tarde boa tarde!! Seu número da rifa é o 185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6" t="str">
        <f t="shared" si="4"/>
        <v>Boa%20tarde%20boa%20tarde!!%20Seu%20número%20da%20rifa%20é%20o%20185%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6" t="str">
        <f t="shared" si="5"/>
        <v>https://web.whatsapp.com/send/?phone=16465429753&amp;text=Boa%20tarde%20boa%20tarde!!%20Seu%20número%20da%20rifa%20é%20o%20185%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7" spans="1:9">
      <c r="A77" s="1">
        <f>Original!I105</f>
        <v>9142306486</v>
      </c>
      <c r="B77" s="1">
        <f>Original!J105</f>
        <v>1</v>
      </c>
      <c r="C77" s="1">
        <f>Original!K105</f>
        <v>0</v>
      </c>
      <c r="D77" s="1" t="str">
        <f>Original!L105</f>
        <v>187</v>
      </c>
      <c r="E77" s="1" t="str">
        <f>Original!M105</f>
        <v>JEFERSON</v>
      </c>
      <c r="F77" t="str">
        <f>IF(VLOOKUP(A77,Original!I:N,6,0)=0,"Já pagou","Falta pagar")</f>
        <v>Falta pagar</v>
      </c>
      <c r="G77" s="7" t="str">
        <f t="shared" si="3"/>
        <v>Boa tarde boa tarde!! Seu número da rifa é o 187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7" t="str">
        <f t="shared" si="4"/>
        <v>Boa%20tarde%20boa%20tarde!!%20Seu%20número%20da%20rifa%20é%20o%20187%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7" t="str">
        <f t="shared" si="5"/>
        <v>https://web.whatsapp.com/send/?phone=19142306486&amp;text=Boa%20tarde%20boa%20tarde!!%20Seu%20número%20da%20rifa%20é%20o%20187%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8" spans="1:9">
      <c r="A78" s="1">
        <f>Original!I106</f>
        <v>2038085888</v>
      </c>
      <c r="B78" s="1">
        <f>Original!J106</f>
        <v>2</v>
      </c>
      <c r="C78" s="1">
        <f>Original!K106</f>
        <v>2</v>
      </c>
      <c r="D78" s="1" t="str">
        <f>Original!L106</f>
        <v>193, 495</v>
      </c>
      <c r="E78" s="1" t="str">
        <f>Original!M106</f>
        <v>JOSE CARLOS pg ,JOSE CARLOS pg</v>
      </c>
      <c r="F78" t="str">
        <f>IF(VLOOKUP(A78,Original!I:N,6,0)=0,"Já pagou","Falta pagar")</f>
        <v>Já pagou</v>
      </c>
      <c r="G78" s="7" t="str">
        <f t="shared" si="3"/>
        <v>Boa tarde boa tarde!! Seus números da rifa são os 193, 495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8" t="str">
        <f t="shared" si="4"/>
        <v>Boa%20tarde%20boa%20tarde!!%20Seus%20números%20da%20rifa%20são%20os%20193,%20495%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8" t="str">
        <f t="shared" si="5"/>
        <v>https://web.whatsapp.com/send/?phone=12038085888&amp;text=Boa%20tarde%20boa%20tarde!!%20Seus%20números%20da%20rifa%20são%20os%20193,%20495%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9" spans="1:9">
      <c r="A79" s="1">
        <f>Original!I107</f>
        <v>2032401199</v>
      </c>
      <c r="B79" s="1">
        <f>Original!J107</f>
        <v>4</v>
      </c>
      <c r="C79" s="1">
        <f>Original!K107</f>
        <v>4</v>
      </c>
      <c r="D79" s="1" t="str">
        <f>Original!L107</f>
        <v>195, 255, 264, 466</v>
      </c>
      <c r="E79" s="1" t="str">
        <f>Original!M107</f>
        <v>Iza pg ,Iza pg ,Iza (f) ,Iza (amiga do juca) pg</v>
      </c>
      <c r="F79" t="str">
        <f>IF(VLOOKUP(A79,Original!I:N,6,0)=0,"Já pagou","Falta pagar")</f>
        <v>Já pagou</v>
      </c>
      <c r="G79" s="7" t="str">
        <f t="shared" si="3"/>
        <v>Boa tarde boa tarde!! Seus números da rifa são os 195, 255, 264, 466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9" t="str">
        <f t="shared" si="4"/>
        <v>Boa%20tarde%20boa%20tarde!!%20Seus%20números%20da%20rifa%20são%20os%20195,%20255,%20264,%20466%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9" t="str">
        <f t="shared" si="5"/>
        <v>https://web.whatsapp.com/send/?phone=12032401199&amp;text=Boa%20tarde%20boa%20tarde!!%20Seus%20números%20da%20rifa%20são%20os%20195,%20255,%20264,%20466%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0" spans="1:9">
      <c r="A80" s="1">
        <f>Original!I108</f>
        <v>2034503366</v>
      </c>
      <c r="B80" s="1">
        <f>Original!J108</f>
        <v>1</v>
      </c>
      <c r="C80" s="1">
        <f>Original!K108</f>
        <v>1</v>
      </c>
      <c r="D80" s="1" t="str">
        <f>Original!L108</f>
        <v>197</v>
      </c>
      <c r="E80" s="1" t="str">
        <f>Original!M108</f>
        <v>WADSON FRANCO pg</v>
      </c>
      <c r="F80" t="str">
        <f>IF(VLOOKUP(A80,Original!I:N,6,0)=0,"Já pagou","Falta pagar")</f>
        <v>Já pagou</v>
      </c>
      <c r="G80" s="7" t="str">
        <f t="shared" si="3"/>
        <v>Boa tarde boa tarde!! Seu número da rifa é o 197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0" t="str">
        <f t="shared" si="4"/>
        <v>Boa%20tarde%20boa%20tarde!!%20Seu%20número%20da%20rifa%20é%20o%20197%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0" t="str">
        <f t="shared" si="5"/>
        <v>https://web.whatsapp.com/send/?phone=12034503366&amp;text=Boa%20tarde%20boa%20tarde!!%20Seu%20número%20da%20rifa%20é%20o%20197%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1" spans="1:9">
      <c r="A81" s="1">
        <f>Original!I109</f>
        <v>9148048287</v>
      </c>
      <c r="B81" s="1">
        <f>Original!J109</f>
        <v>2</v>
      </c>
      <c r="C81" s="1">
        <f>Original!K109</f>
        <v>0</v>
      </c>
      <c r="D81" s="1" t="str">
        <f>Original!L109</f>
        <v>199, 499</v>
      </c>
      <c r="E81" s="1" t="str">
        <f>Original!M109</f>
        <v>TIA VERA ,TIA VERA</v>
      </c>
      <c r="F81" t="str">
        <f>IF(VLOOKUP(A81,Original!I:N,6,0)=0,"Já pagou","Falta pagar")</f>
        <v>Falta pagar</v>
      </c>
      <c r="G81" s="7" t="str">
        <f t="shared" si="3"/>
        <v>Boa tarde boa tarde!! Seus números da rifa são os 199, 499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1" t="str">
        <f t="shared" si="4"/>
        <v>Boa%20tarde%20boa%20tarde!!%20Seus%20números%20da%20rifa%20são%20os%20199,%20499%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1" t="str">
        <f t="shared" si="5"/>
        <v>https://web.whatsapp.com/send/?phone=19148048287&amp;text=Boa%20tarde%20boa%20tarde!!%20Seus%20números%20da%20rifa%20são%20os%20199,%20499%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2" spans="1:9">
      <c r="A82" s="1">
        <f>Original!I110</f>
        <v>9144478366</v>
      </c>
      <c r="B82" s="1">
        <f>Original!J110</f>
        <v>1</v>
      </c>
      <c r="C82" s="1">
        <f>Original!K110</f>
        <v>0</v>
      </c>
      <c r="D82" s="1" t="str">
        <f>Original!L110</f>
        <v>200</v>
      </c>
      <c r="E82" s="1" t="str">
        <f>Original!M110</f>
        <v>Ricardo Souza</v>
      </c>
      <c r="F82" t="str">
        <f>IF(VLOOKUP(A82,Original!I:N,6,0)=0,"Já pagou","Falta pagar")</f>
        <v>Falta pagar</v>
      </c>
      <c r="G82" s="7" t="str">
        <f t="shared" si="3"/>
        <v>Boa tarde boa tarde!! Seu número da rifa é o 200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2" t="str">
        <f t="shared" si="4"/>
        <v>Boa%20tarde%20boa%20tarde!!%20Seu%20número%20da%20rifa%20é%20o%20200%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2" t="str">
        <f t="shared" si="5"/>
        <v>https://web.whatsapp.com/send/?phone=19144478366&amp;text=Boa%20tarde%20boa%20tarde!!%20Seu%20número%20da%20rifa%20é%20o%20200%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3" spans="1:9">
      <c r="A83" s="1">
        <f>Original!I111</f>
        <v>2036192141</v>
      </c>
      <c r="B83" s="1">
        <f>Original!J111</f>
        <v>1</v>
      </c>
      <c r="C83" s="1">
        <f>Original!K111</f>
        <v>0</v>
      </c>
      <c r="D83" s="1" t="str">
        <f>Original!L111</f>
        <v>201</v>
      </c>
      <c r="E83" s="1" t="str">
        <f>Original!M111</f>
        <v>FABIAN</v>
      </c>
      <c r="F83" t="str">
        <f>IF(VLOOKUP(A83,Original!I:N,6,0)=0,"Já pagou","Falta pagar")</f>
        <v>Falta pagar</v>
      </c>
      <c r="G83" s="7" t="str">
        <f t="shared" si="3"/>
        <v>Boa tarde boa tarde!! Seu número da rifa é o 201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3" t="str">
        <f t="shared" si="4"/>
        <v>Boa%20tarde%20boa%20tarde!!%20Seu%20número%20da%20rifa%20é%20o%20201%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3" t="str">
        <f t="shared" si="5"/>
        <v>https://web.whatsapp.com/send/?phone=12036192141&amp;text=Boa%20tarde%20boa%20tarde!!%20Seu%20número%20da%20rifa%20é%20o%20201%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4" spans="1:9">
      <c r="A84" s="1">
        <f>Original!I112</f>
        <v>2038220554</v>
      </c>
      <c r="B84" s="1">
        <f>Original!J112</f>
        <v>1</v>
      </c>
      <c r="C84" s="1">
        <f>Original!K112</f>
        <v>1</v>
      </c>
      <c r="D84" s="1" t="str">
        <f>Original!L112</f>
        <v>203</v>
      </c>
      <c r="E84" s="1" t="str">
        <f>Original!M112</f>
        <v>ERIQUE DE FIGUEREDO pg</v>
      </c>
      <c r="F84" t="str">
        <f>IF(VLOOKUP(A84,Original!I:N,6,0)=0,"Já pagou","Falta pagar")</f>
        <v>Já pagou</v>
      </c>
      <c r="G84" s="7" t="str">
        <f t="shared" si="3"/>
        <v>Boa tarde boa tarde!! Seu número da rifa é o 203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4" t="str">
        <f t="shared" si="4"/>
        <v>Boa%20tarde%20boa%20tarde!!%20Seu%20número%20da%20rifa%20é%20o%20203%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4" t="str">
        <f t="shared" si="5"/>
        <v>https://web.whatsapp.com/send/?phone=12038220554&amp;text=Boa%20tarde%20boa%20tarde!!%20Seu%20número%20da%20rifa%20é%20o%20203%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5" spans="1:9">
      <c r="A85" s="1">
        <f>Original!I113</f>
        <v>9147558956</v>
      </c>
      <c r="B85" s="1">
        <f>Original!J113</f>
        <v>3</v>
      </c>
      <c r="C85" s="1">
        <f>Original!K113</f>
        <v>0</v>
      </c>
      <c r="D85" s="1" t="str">
        <f>Original!L113</f>
        <v>209, 210, 220</v>
      </c>
      <c r="E85" s="1" t="str">
        <f>Original!M113</f>
        <v>TIAGO ARAUJO ,TIAGO ARAUJO ,TIAGO ARAUJO</v>
      </c>
      <c r="F85" t="str">
        <f>IF(VLOOKUP(A85,Original!I:N,6,0)=0,"Já pagou","Falta pagar")</f>
        <v>Falta pagar</v>
      </c>
      <c r="G85" s="7" t="str">
        <f t="shared" si="3"/>
        <v>Boa tarde boa tarde!! Seus números da rifa são os 209, 210, 220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5" t="str">
        <f t="shared" si="4"/>
        <v>Boa%20tarde%20boa%20tarde!!%20Seus%20números%20da%20rifa%20são%20os%20209,%20210,%20220%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5" t="str">
        <f t="shared" si="5"/>
        <v>https://web.whatsapp.com/send/?phone=19147558956&amp;text=Boa%20tarde%20boa%20tarde!!%20Seus%20números%20da%20rifa%20são%20os%20209,%20210,%20220%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6" spans="1:9">
      <c r="A86" s="1">
        <f>Original!I114</f>
        <v>2033606809</v>
      </c>
      <c r="B86" s="1">
        <f>Original!J114</f>
        <v>1</v>
      </c>
      <c r="C86" s="1">
        <f>Original!K114</f>
        <v>1</v>
      </c>
      <c r="D86" s="1" t="str">
        <f>Original!L114</f>
        <v>211</v>
      </c>
      <c r="E86" s="1" t="str">
        <f>Original!M114</f>
        <v>Roger/GUI pg</v>
      </c>
      <c r="F86" t="str">
        <f>IF(VLOOKUP(A86,Original!I:N,6,0)=0,"Já pagou","Falta pagar")</f>
        <v>Já pagou</v>
      </c>
      <c r="G86" s="7" t="str">
        <f t="shared" si="3"/>
        <v>Boa tarde boa tarde!! Seu número da rifa é o 211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6" t="str">
        <f t="shared" si="4"/>
        <v>Boa%20tarde%20boa%20tarde!!%20Seu%20número%20da%20rifa%20é%20o%20211%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6" t="str">
        <f t="shared" si="5"/>
        <v>https://web.whatsapp.com/send/?phone=12033606809&amp;text=Boa%20tarde%20boa%20tarde!!%20Seu%20número%20da%20rifa%20é%20o%20211%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7" spans="1:9">
      <c r="A87" s="1">
        <f>Original!I115</f>
        <v>9144695805</v>
      </c>
      <c r="B87" s="1">
        <f>Original!J115</f>
        <v>3</v>
      </c>
      <c r="C87" s="1">
        <f>Original!K115</f>
        <v>2</v>
      </c>
      <c r="D87" s="1" t="str">
        <f>Original!L115</f>
        <v>213, 277, 391</v>
      </c>
      <c r="E87" s="1" t="str">
        <f>Original!M115</f>
        <v>ZE CARLINHO /joao Batista ,JOAO BATISTA pg ,JOAO BATISTA pg</v>
      </c>
      <c r="F87" t="str">
        <f>IF(VLOOKUP(A87,Original!I:N,6,0)=0,"Já pagou","Falta pagar")</f>
        <v>Falta pagar</v>
      </c>
      <c r="G87" s="7" t="str">
        <f t="shared" si="3"/>
        <v>Boa tarde boa tarde!! Seus números da rifa são os 213, 277, 391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7" t="str">
        <f t="shared" si="4"/>
        <v>Boa%20tarde%20boa%20tarde!!%20Seus%20números%20da%20rifa%20são%20os%20213,%20277,%20391%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7" t="str">
        <f t="shared" si="5"/>
        <v>https://web.whatsapp.com/send/?phone=19144695805&amp;text=Boa%20tarde%20boa%20tarde!!%20Seus%20números%20da%20rifa%20são%20os%20213,%20277,%20391%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8" spans="1:9">
      <c r="A88" s="1">
        <f>Original!I116</f>
        <v>9142270568</v>
      </c>
      <c r="B88" s="1">
        <f>Original!J116</f>
        <v>5</v>
      </c>
      <c r="C88" s="1">
        <f>Original!K116</f>
        <v>0</v>
      </c>
      <c r="D88" s="1" t="str">
        <f>Original!L116</f>
        <v>216, 223, 257, 307, 400</v>
      </c>
      <c r="E88" s="1" t="str">
        <f>Original!M116</f>
        <v>Danilex ,DANILEX ,DANILEX ,DANILEX ,DANILEX</v>
      </c>
      <c r="F88" t="str">
        <f>IF(VLOOKUP(A88,Original!I:N,6,0)=0,"Já pagou","Falta pagar")</f>
        <v>Falta pagar</v>
      </c>
      <c r="G88" s="7" t="str">
        <f t="shared" si="3"/>
        <v>Boa tarde boa tarde!! Seus números da rifa são os 216, 223, 257, 307, 400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8" t="str">
        <f t="shared" si="4"/>
        <v>Boa%20tarde%20boa%20tarde!!%20Seus%20números%20da%20rifa%20são%20os%20216,%20223,%20257,%20307,%20400%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8" t="str">
        <f t="shared" si="5"/>
        <v>https://web.whatsapp.com/send/?phone=19142270568&amp;text=Boa%20tarde%20boa%20tarde!!%20Seus%20números%20da%20rifa%20são%20os%20216,%20223,%20257,%20307,%20400%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89" spans="1:9">
      <c r="A89" s="1">
        <f>Original!I117</f>
        <v>5511973919591</v>
      </c>
      <c r="B89" s="1">
        <f>Original!J117</f>
        <v>1</v>
      </c>
      <c r="C89" s="1">
        <f>Original!K117</f>
        <v>0</v>
      </c>
      <c r="D89" s="1" t="str">
        <f>Original!L117</f>
        <v>222</v>
      </c>
      <c r="E89" s="1" t="str">
        <f>Original!M117</f>
        <v>ALEXANDRE BATISTA</v>
      </c>
      <c r="F89" t="str">
        <f>IF(VLOOKUP(A89,Original!I:N,6,0)=0,"Já pagou","Falta pagar")</f>
        <v>Falta pagar</v>
      </c>
      <c r="G89" s="7" t="str">
        <f t="shared" si="3"/>
        <v>Boa tarde boa tarde!! Seu número da rifa é o 222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9" t="str">
        <f t="shared" si="4"/>
        <v>Boa%20tarde%20boa%20tarde!!%20Seu%20número%20da%20rifa%20é%20o%20222%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9" t="str">
        <f t="shared" si="5"/>
        <v>https://web.whatsapp.com/send/?phone=5511973919591&amp;text=Boa%20tarde%20boa%20tarde!!%20Seu%20número%20da%20rifa%20é%20o%20222%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0" spans="1:9">
      <c r="A90" s="1">
        <f>Original!I118</f>
        <v>5515879636</v>
      </c>
      <c r="B90" s="1">
        <f>Original!J118</f>
        <v>2</v>
      </c>
      <c r="C90" s="1">
        <f>Original!K118</f>
        <v>2</v>
      </c>
      <c r="D90" s="1" t="str">
        <f>Original!L118</f>
        <v>225, 410</v>
      </c>
      <c r="E90" s="1" t="str">
        <f>Original!M118</f>
        <v>STEPHANIE /Eduardo pg ,RENZO /Eduardo pg</v>
      </c>
      <c r="F90" t="str">
        <f>IF(VLOOKUP(A90,Original!I:N,6,0)=0,"Já pagou","Falta pagar")</f>
        <v>Já pagou</v>
      </c>
      <c r="G90" s="7" t="str">
        <f t="shared" si="3"/>
        <v>Boa tarde boa tarde!! Seus números da rifa são os 225, 410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0" t="str">
        <f t="shared" si="4"/>
        <v>Boa%20tarde%20boa%20tarde!!%20Seus%20números%20da%20rifa%20são%20os%20225,%20410%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0" t="str">
        <f t="shared" si="5"/>
        <v>https://web.whatsapp.com/send/?phone=5515879636&amp;text=Boa%20tarde%20boa%20tarde!!%20Seus%20números%20da%20rifa%20são%20os%20225,%20410%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1" spans="1:9">
      <c r="A91" s="1">
        <f>Original!I119</f>
        <v>2036908251</v>
      </c>
      <c r="B91" s="1">
        <f>Original!J119</f>
        <v>4</v>
      </c>
      <c r="C91" s="1">
        <f>Original!K119</f>
        <v>0</v>
      </c>
      <c r="D91" s="1" t="str">
        <f>Original!L119</f>
        <v>228, 413, 434, 448</v>
      </c>
      <c r="E91" s="1" t="str">
        <f>Original!M119</f>
        <v>CARLOS ROSA ,SAMANTA ROSA /gallardo ,GEYRY ZUELITA /gallardo ,Marvin Rosa</v>
      </c>
      <c r="F91" t="str">
        <f>IF(VLOOKUP(A91,Original!I:N,6,0)=0,"Já pagou","Falta pagar")</f>
        <v>Falta pagar</v>
      </c>
      <c r="G91" s="7" t="str">
        <f t="shared" si="3"/>
        <v>Boa tarde boa tarde!! Seus números da rifa são os 228, 413, 434, 448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1" t="str">
        <f t="shared" si="4"/>
        <v>Boa%20tarde%20boa%20tarde!!%20Seus%20números%20da%20rifa%20são%20os%20228,%20413,%20434,%20448%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1" t="str">
        <f t="shared" si="5"/>
        <v>https://web.whatsapp.com/send/?phone=12036908251&amp;text=Boa%20tarde%20boa%20tarde!!%20Seus%20números%20da%20rifa%20são%20os%20228,%20413,%20434,%20448%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2" spans="1:9">
      <c r="A92" s="1">
        <f>Original!I120</f>
        <v>2039233002</v>
      </c>
      <c r="B92" s="1">
        <f>Original!J120</f>
        <v>2</v>
      </c>
      <c r="C92" s="1">
        <f>Original!K120</f>
        <v>0</v>
      </c>
      <c r="D92" s="1" t="str">
        <f>Original!L120</f>
        <v>230, 269</v>
      </c>
      <c r="E92" s="1" t="str">
        <f>Original!M120</f>
        <v>FELIX COSTA ,FELIX COSTA</v>
      </c>
      <c r="F92" t="str">
        <f>IF(VLOOKUP(A92,Original!I:N,6,0)=0,"Já pagou","Falta pagar")</f>
        <v>Falta pagar</v>
      </c>
      <c r="G92" s="7" t="str">
        <f t="shared" si="3"/>
        <v>Boa tarde boa tarde!! Seus números da rifa são os 230, 269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2" t="str">
        <f t="shared" si="4"/>
        <v>Boa%20tarde%20boa%20tarde!!%20Seus%20números%20da%20rifa%20são%20os%20230,%20269%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2" t="str">
        <f t="shared" si="5"/>
        <v>https://web.whatsapp.com/send/?phone=12039233002&amp;text=Boa%20tarde%20boa%20tarde!!%20Seus%20números%20da%20rifa%20são%20os%20230,%20269%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3" spans="1:9">
      <c r="A93" s="1">
        <f>Original!I121</f>
        <v>9143560756</v>
      </c>
      <c r="B93" s="1">
        <f>Original!J121</f>
        <v>2</v>
      </c>
      <c r="C93" s="1">
        <f>Original!K121</f>
        <v>0</v>
      </c>
      <c r="D93" s="1" t="str">
        <f>Original!L121</f>
        <v>235, 346</v>
      </c>
      <c r="E93" s="1" t="str">
        <f>Original!M121</f>
        <v>RAFAEL IDEAL BRASIL ,RAFAEL IDEAL BRASIL</v>
      </c>
      <c r="F93" t="str">
        <f>IF(VLOOKUP(A93,Original!I:N,6,0)=0,"Já pagou","Falta pagar")</f>
        <v>Falta pagar</v>
      </c>
      <c r="G93" s="7" t="str">
        <f t="shared" si="3"/>
        <v>Boa tarde boa tarde!! Seus números da rifa são os 235, 346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3" t="str">
        <f t="shared" si="4"/>
        <v>Boa%20tarde%20boa%20tarde!!%20Seus%20números%20da%20rifa%20são%20os%20235,%20346%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3" t="str">
        <f t="shared" si="5"/>
        <v>https://web.whatsapp.com/send/?phone=19143560756&amp;text=Boa%20tarde%20boa%20tarde!!%20Seus%20números%20da%20rifa%20são%20os%20235,%20346%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4" spans="1:9">
      <c r="A94" s="1">
        <f>Original!I122</f>
        <v>2034961500</v>
      </c>
      <c r="B94" s="1">
        <f>Original!J122</f>
        <v>1</v>
      </c>
      <c r="C94" s="1">
        <f>Original!K122</f>
        <v>1</v>
      </c>
      <c r="D94" s="1" t="str">
        <f>Original!L122</f>
        <v>237</v>
      </c>
      <c r="E94" s="1" t="str">
        <f>Original!M122</f>
        <v>Nilton pg</v>
      </c>
      <c r="F94" t="str">
        <f>IF(VLOOKUP(A94,Original!I:N,6,0)=0,"Já pagou","Falta pagar")</f>
        <v>Já pagou</v>
      </c>
      <c r="G94" s="7" t="str">
        <f t="shared" si="3"/>
        <v>Boa tarde boa tarde!! Seu número da rifa é o 237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4" t="str">
        <f t="shared" si="4"/>
        <v>Boa%20tarde%20boa%20tarde!!%20Seu%20número%20da%20rifa%20é%20o%20237%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4" t="str">
        <f t="shared" si="5"/>
        <v>https://web.whatsapp.com/send/?phone=12034961500&amp;text=Boa%20tarde%20boa%20tarde!!%20Seu%20número%20da%20rifa%20é%20o%20237%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5" spans="1:9">
      <c r="A95" s="1">
        <f>Original!I123</f>
        <v>4753599546</v>
      </c>
      <c r="B95" s="1">
        <f>Original!J123</f>
        <v>1</v>
      </c>
      <c r="C95" s="1">
        <f>Original!K123</f>
        <v>0</v>
      </c>
      <c r="D95" s="1" t="str">
        <f>Original!L123</f>
        <v>238</v>
      </c>
      <c r="E95" s="1" t="str">
        <f>Original!M123</f>
        <v>Ramon bahia</v>
      </c>
      <c r="F95" t="str">
        <f>IF(VLOOKUP(A95,Original!I:N,6,0)=0,"Já pagou","Falta pagar")</f>
        <v>Falta pagar</v>
      </c>
      <c r="G95" s="7" t="str">
        <f t="shared" si="3"/>
        <v>Boa tarde boa tarde!! Seu número da rifa é o 238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5" t="str">
        <f t="shared" si="4"/>
        <v>Boa%20tarde%20boa%20tarde!!%20Seu%20número%20da%20rifa%20é%20o%20238%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5" t="str">
        <f t="shared" si="5"/>
        <v>https://web.whatsapp.com/send/?phone=14753599546&amp;text=Boa%20tarde%20boa%20tarde!!%20Seu%20número%20da%20rifa%20é%20o%20238%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6" spans="1:9">
      <c r="A96" s="1">
        <f>Original!I124</f>
        <v>2033213501</v>
      </c>
      <c r="B96" s="1">
        <f>Original!J124</f>
        <v>1</v>
      </c>
      <c r="C96" s="1">
        <f>Original!K124</f>
        <v>1</v>
      </c>
      <c r="D96" s="1" t="str">
        <f>Original!L124</f>
        <v>243</v>
      </c>
      <c r="E96" s="1" t="str">
        <f>Original!M124</f>
        <v>PAPITO pg</v>
      </c>
      <c r="F96" t="str">
        <f>IF(VLOOKUP(A96,Original!I:N,6,0)=0,"Já pagou","Falta pagar")</f>
        <v>Já pagou</v>
      </c>
      <c r="G96" s="7" t="str">
        <f t="shared" si="3"/>
        <v>Boa tarde boa tarde!! Seu número da rifa é o 243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6" t="str">
        <f t="shared" si="4"/>
        <v>Boa%20tarde%20boa%20tarde!!%20Seu%20número%20da%20rifa%20é%20o%20243%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6" t="str">
        <f t="shared" si="5"/>
        <v>https://web.whatsapp.com/send/?phone=12033213501&amp;text=Boa%20tarde%20boa%20tarde!!%20Seu%20número%20da%20rifa%20é%20o%20243%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7" spans="1:9">
      <c r="A97" s="1">
        <f>Original!I125</f>
        <v>5511976704883</v>
      </c>
      <c r="B97" s="1">
        <f>Original!J125</f>
        <v>2</v>
      </c>
      <c r="C97" s="1">
        <f>Original!K125</f>
        <v>0</v>
      </c>
      <c r="D97" s="1" t="str">
        <f>Original!L125</f>
        <v>245, 270</v>
      </c>
      <c r="E97" s="1" t="str">
        <f>Original!M125</f>
        <v>Ivan ,Ivan</v>
      </c>
      <c r="F97" t="str">
        <f>IF(VLOOKUP(A97,Original!I:N,6,0)=0,"Já pagou","Falta pagar")</f>
        <v>Falta pagar</v>
      </c>
      <c r="G97" s="7" t="str">
        <f t="shared" si="3"/>
        <v>Boa tarde boa tarde!! Seus números da rifa são os 245, 270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7" t="str">
        <f t="shared" si="4"/>
        <v>Boa%20tarde%20boa%20tarde!!%20Seus%20números%20da%20rifa%20são%20os%20245,%20270%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7" t="str">
        <f t="shared" si="5"/>
        <v>https://web.whatsapp.com/send/?phone=5511976704883&amp;text=Boa%20tarde%20boa%20tarde!!%20Seus%20números%20da%20rifa%20são%20os%20245,%20270%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8" spans="1:9">
      <c r="A98" s="1">
        <f>Original!I126</f>
        <v>2038361045</v>
      </c>
      <c r="B98" s="1">
        <f>Original!J126</f>
        <v>1</v>
      </c>
      <c r="C98" s="1">
        <f>Original!K126</f>
        <v>1</v>
      </c>
      <c r="D98" s="1" t="str">
        <f>Original!L126</f>
        <v>247</v>
      </c>
      <c r="E98" s="1" t="str">
        <f>Original!M126</f>
        <v>Ivo pg</v>
      </c>
      <c r="F98" t="str">
        <f>IF(VLOOKUP(A98,Original!I:N,6,0)=0,"Já pagou","Falta pagar")</f>
        <v>Já pagou</v>
      </c>
      <c r="G98" s="7" t="str">
        <f t="shared" si="3"/>
        <v>Boa tarde boa tarde!! Seu número da rifa é o 247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8" t="str">
        <f t="shared" si="4"/>
        <v>Boa%20tarde%20boa%20tarde!!%20Seu%20número%20da%20rifa%20é%20o%20247%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8" t="str">
        <f t="shared" si="5"/>
        <v>https://web.whatsapp.com/send/?phone=12038361045&amp;text=Boa%20tarde%20boa%20tarde!!%20Seu%20número%20da%20rifa%20é%20o%20247%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9" spans="1:9">
      <c r="A99" s="1">
        <f>Original!I127</f>
        <v>4754590021</v>
      </c>
      <c r="B99" s="1">
        <f>Original!J127</f>
        <v>1</v>
      </c>
      <c r="C99" s="1">
        <f>Original!K127</f>
        <v>1</v>
      </c>
      <c r="D99" s="1" t="str">
        <f>Original!L127</f>
        <v>250</v>
      </c>
      <c r="E99" s="1" t="str">
        <f>Original!M127</f>
        <v>ROCHESTER pg</v>
      </c>
      <c r="F99" t="str">
        <f>IF(VLOOKUP(A99,Original!I:N,6,0)=0,"Já pagou","Falta pagar")</f>
        <v>Já pagou</v>
      </c>
      <c r="G99" s="7" t="str">
        <f t="shared" si="3"/>
        <v>Boa tarde boa tarde!! Seu número da rifa é o 250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9" t="str">
        <f t="shared" si="4"/>
        <v>Boa%20tarde%20boa%20tarde!!%20Seu%20número%20da%20rifa%20é%20o%20250%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9" t="str">
        <f t="shared" si="5"/>
        <v>https://web.whatsapp.com/send/?phone=14754590021&amp;text=Boa%20tarde%20boa%20tarde!!%20Seu%20número%20da%20rifa%20é%20o%20250%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0" spans="1:9">
      <c r="A100" s="1">
        <f>Original!I128</f>
        <v>4754494453</v>
      </c>
      <c r="B100" s="1">
        <f>Original!J128</f>
        <v>1</v>
      </c>
      <c r="C100" s="1">
        <f>Original!K128</f>
        <v>0</v>
      </c>
      <c r="D100" s="1" t="str">
        <f>Original!L128</f>
        <v>251</v>
      </c>
      <c r="E100" s="1" t="str">
        <f>Original!M128</f>
        <v>ROSE</v>
      </c>
      <c r="F100" t="str">
        <f>IF(VLOOKUP(A100,Original!I:N,6,0)=0,"Já pagou","Falta pagar")</f>
        <v>Falta pagar</v>
      </c>
      <c r="G100" s="7" t="str">
        <f t="shared" si="3"/>
        <v>Boa tarde boa tarde!! Seu número da rifa é o 251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0" t="str">
        <f t="shared" si="4"/>
        <v>Boa%20tarde%20boa%20tarde!!%20Seu%20número%20da%20rifa%20é%20o%20251%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0" t="str">
        <f t="shared" si="5"/>
        <v>https://web.whatsapp.com/send/?phone=14754494453&amp;text=Boa%20tarde%20boa%20tarde!!%20Seu%20número%20da%20rifa%20é%20o%20251%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1" spans="1:9">
      <c r="A101" s="1">
        <f>Original!I129</f>
        <v>2038078841</v>
      </c>
      <c r="B101" s="1">
        <f>Original!J129</f>
        <v>2</v>
      </c>
      <c r="C101" s="1">
        <f>Original!K129</f>
        <v>2</v>
      </c>
      <c r="D101" s="1" t="str">
        <f>Original!L129</f>
        <v>256, 386</v>
      </c>
      <c r="E101" s="1" t="str">
        <f>Original!M129</f>
        <v>RONI pg ,Ronni pg</v>
      </c>
      <c r="F101" t="str">
        <f>IF(VLOOKUP(A101,Original!I:N,6,0)=0,"Já pagou","Falta pagar")</f>
        <v>Já pagou</v>
      </c>
      <c r="G101" s="7" t="str">
        <f t="shared" si="3"/>
        <v>Boa tarde boa tarde!! Seus números da rifa são os 256, 386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1" t="str">
        <f t="shared" si="4"/>
        <v>Boa%20tarde%20boa%20tarde!!%20Seus%20números%20da%20rifa%20são%20os%20256,%20386%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1" t="str">
        <f t="shared" si="5"/>
        <v>https://web.whatsapp.com/send/?phone=12038078841&amp;text=Boa%20tarde%20boa%20tarde!!%20Seus%20números%20da%20rifa%20são%20os%20256,%20386%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2" spans="1:9">
      <c r="A102" s="1">
        <f>Original!I130</f>
        <v>9144386604</v>
      </c>
      <c r="B102" s="1">
        <f>Original!J130</f>
        <v>1</v>
      </c>
      <c r="C102" s="1">
        <f>Original!K130</f>
        <v>1</v>
      </c>
      <c r="D102" s="1" t="str">
        <f>Original!L130</f>
        <v>263</v>
      </c>
      <c r="E102" s="1" t="str">
        <f>Original!M130</f>
        <v>Alan pg</v>
      </c>
      <c r="F102" t="str">
        <f>IF(VLOOKUP(A102,Original!I:N,6,0)=0,"Já pagou","Falta pagar")</f>
        <v>Já pagou</v>
      </c>
      <c r="G102" s="7" t="str">
        <f t="shared" si="3"/>
        <v>Boa tarde boa tarde!! Seu número da rifa é o 263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2" t="str">
        <f t="shared" si="4"/>
        <v>Boa%20tarde%20boa%20tarde!!%20Seu%20número%20da%20rifa%20é%20o%20263%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2" t="str">
        <f t="shared" si="5"/>
        <v>https://web.whatsapp.com/send/?phone=19144386604&amp;text=Boa%20tarde%20boa%20tarde!!%20Seu%20número%20da%20rifa%20é%20o%20263%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3" spans="1:9">
      <c r="A103" s="1">
        <f>Original!I131</f>
        <v>9146203904</v>
      </c>
      <c r="B103" s="1">
        <f>Original!J131</f>
        <v>2</v>
      </c>
      <c r="C103" s="1">
        <f>Original!K131</f>
        <v>0</v>
      </c>
      <c r="D103" s="1" t="str">
        <f>Original!L131</f>
        <v>266, 338</v>
      </c>
      <c r="E103" s="1" t="str">
        <f>Original!M131</f>
        <v>José tile ,José tile</v>
      </c>
      <c r="F103" t="str">
        <f>IF(VLOOKUP(A103,Original!I:N,6,0)=0,"Já pagou","Falta pagar")</f>
        <v>Falta pagar</v>
      </c>
      <c r="G103" s="7" t="str">
        <f t="shared" ref="G103:G139" si="6">"Boa tarde boa tarde!! "&amp;IF(B103&gt;1,"Seus números da rifa são os ","Seu número da rifa é o ")&amp;D103&amp;" referente ao Carro e Jetski no primeiro lugar .O Zelle para pagamento é o 9143629635. Estou fazendo a última chamada para recolher o valor e aguardamos "&amp;"seu retorno até domingo, e caso nao consiga retornar, vamos disponibilizar os numeros na rifa. Obrigado 🙏 boa sorte 🍀 "&amp;"Caso tenha pago esses numeros, por gentileza enviar o comprovante para atualizar a lista."</f>
        <v>Boa tarde boa tarde!! Seus números da rifa são os 266, 338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3" t="str">
        <f t="shared" ref="H103:H139" si="7">SUBSTITUTE(
SUBSTITUTE(
SUBSTITUTE(
SUBSTITUTE(
SUBSTITUTE(
SUBSTITUTE(G103," ","%20"),
CHAR(10),"%0A"),
"""","%22"),
"&amp;","%26"),
":","%3A"),
"/","%2F")</f>
        <v>Boa%20tarde%20boa%20tarde!!%20Seus%20números%20da%20rifa%20são%20os%20266,%20338%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3" t="str">
        <f t="shared" ref="I103:I139" si="8">"https://web.whatsapp.com/send/?phone="&amp;IF(LEFT(A103,2)="55","","1")&amp;A103&amp;"&amp;text="&amp;H103</f>
        <v>https://web.whatsapp.com/send/?phone=19146203904&amp;text=Boa%20tarde%20boa%20tarde!!%20Seus%20números%20da%20rifa%20são%20os%20266,%20338%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4" spans="1:9">
      <c r="A104" s="1">
        <f>Original!I132</f>
        <v>2038982085</v>
      </c>
      <c r="B104" s="1">
        <f>Original!J132</f>
        <v>1</v>
      </c>
      <c r="C104" s="1">
        <f>Original!K132</f>
        <v>0</v>
      </c>
      <c r="D104" s="1" t="str">
        <f>Original!L132</f>
        <v>267</v>
      </c>
      <c r="E104" s="1" t="str">
        <f>Original!M132</f>
        <v>Fabricio</v>
      </c>
      <c r="F104" t="str">
        <f>IF(VLOOKUP(A104,Original!I:N,6,0)=0,"Já pagou","Falta pagar")</f>
        <v>Falta pagar</v>
      </c>
      <c r="G104" s="7" t="str">
        <f t="shared" si="6"/>
        <v>Boa tarde boa tarde!! Seu número da rifa é o 267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4" t="str">
        <f t="shared" si="7"/>
        <v>Boa%20tarde%20boa%20tarde!!%20Seu%20número%20da%20rifa%20é%20o%20267%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4" t="str">
        <f t="shared" si="8"/>
        <v>https://web.whatsapp.com/send/?phone=12038982085&amp;text=Boa%20tarde%20boa%20tarde!!%20Seu%20número%20da%20rifa%20é%20o%20267%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5" spans="1:9">
      <c r="A105" s="1">
        <f>Original!I133</f>
        <v>8455279933</v>
      </c>
      <c r="B105" s="1">
        <f>Original!J133</f>
        <v>5</v>
      </c>
      <c r="C105" s="1">
        <f>Original!K133</f>
        <v>3</v>
      </c>
      <c r="D105" s="1" t="str">
        <f>Original!L133</f>
        <v>271, 274, 276, 309, 334</v>
      </c>
      <c r="E105" s="1" t="str">
        <f>Original!M133</f>
        <v>Marília / Fábio (f) ,Ana Laura Gregório (Marília) ,Marília /fabio pg ,Marília/ Fábio pg ,Cida dona ( Marília )</v>
      </c>
      <c r="F105" t="str">
        <f>IF(VLOOKUP(A105,Original!I:N,6,0)=0,"Já pagou","Falta pagar")</f>
        <v>Falta pagar</v>
      </c>
      <c r="G105" s="7" t="str">
        <f t="shared" si="6"/>
        <v>Boa tarde boa tarde!! Seus números da rifa são os 271, 274, 276, 309, 334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5" t="str">
        <f t="shared" si="7"/>
        <v>Boa%20tarde%20boa%20tarde!!%20Seus%20números%20da%20rifa%20são%20os%20271,%20274,%20276,%20309,%20334%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5" t="str">
        <f t="shared" si="8"/>
        <v>https://web.whatsapp.com/send/?phone=18455279933&amp;text=Boa%20tarde%20boa%20tarde!!%20Seus%20números%20da%20rifa%20são%20os%20271,%20274,%20276,%20309,%20334%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6" spans="1:9">
      <c r="A106" s="1">
        <f>Original!I134</f>
        <v>9735172499</v>
      </c>
      <c r="B106" s="1">
        <f>Original!J134</f>
        <v>1</v>
      </c>
      <c r="C106" s="1">
        <f>Original!K134</f>
        <v>1</v>
      </c>
      <c r="D106" s="1" t="str">
        <f>Original!L134</f>
        <v>273</v>
      </c>
      <c r="E106" s="1" t="str">
        <f>Original!M134</f>
        <v>BOCAO pg</v>
      </c>
      <c r="F106" t="str">
        <f>IF(VLOOKUP(A106,Original!I:N,6,0)=0,"Já pagou","Falta pagar")</f>
        <v>Já pagou</v>
      </c>
      <c r="G106" s="7" t="str">
        <f t="shared" si="6"/>
        <v>Boa tarde boa tarde!! Seu número da rifa é o 273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6" t="str">
        <f t="shared" si="7"/>
        <v>Boa%20tarde%20boa%20tarde!!%20Seu%20número%20da%20rifa%20é%20o%20273%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6" t="str">
        <f t="shared" si="8"/>
        <v>https://web.whatsapp.com/send/?phone=19735172499&amp;text=Boa%20tarde%20boa%20tarde!!%20Seu%20número%20da%20rifa%20é%20o%20273%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7" spans="1:9">
      <c r="A107" s="1">
        <f>Original!I135</f>
        <v>9148446172</v>
      </c>
      <c r="B107" s="1">
        <f>Original!J135</f>
        <v>3</v>
      </c>
      <c r="C107" s="1">
        <f>Original!K135</f>
        <v>0</v>
      </c>
      <c r="D107" s="1" t="str">
        <f>Original!L135</f>
        <v>280, 281, 459</v>
      </c>
      <c r="E107" s="1" t="str">
        <f>Original!M135</f>
        <v>Sônia da Deli (Salvador ) ,Luís guevara ,SALVADOR</v>
      </c>
      <c r="F107" t="str">
        <f>IF(VLOOKUP(A107,Original!I:N,6,0)=0,"Já pagou","Falta pagar")</f>
        <v>Falta pagar</v>
      </c>
      <c r="G107" s="7" t="str">
        <f t="shared" si="6"/>
        <v>Boa tarde boa tarde!! Seus números da rifa são os 280, 281, 459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7" t="str">
        <f t="shared" si="7"/>
        <v>Boa%20tarde%20boa%20tarde!!%20Seus%20números%20da%20rifa%20são%20os%20280,%20281,%20459%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7" t="str">
        <f t="shared" si="8"/>
        <v>https://web.whatsapp.com/send/?phone=19148446172&amp;text=Boa%20tarde%20boa%20tarde!!%20Seus%20números%20da%20rifa%20são%20os%20280,%20281,%20459%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8" spans="1:9">
      <c r="A108" s="1">
        <f>Original!I136</f>
        <v>2038640330</v>
      </c>
      <c r="B108" s="1">
        <f>Original!J136</f>
        <v>1</v>
      </c>
      <c r="C108" s="1">
        <f>Original!K136</f>
        <v>0</v>
      </c>
      <c r="D108" s="1" t="str">
        <f>Original!L136</f>
        <v>287</v>
      </c>
      <c r="E108" s="1" t="str">
        <f>Original!M136</f>
        <v>C 2038640330</v>
      </c>
      <c r="F108" t="str">
        <f>IF(VLOOKUP(A108,Original!I:N,6,0)=0,"Já pagou","Falta pagar")</f>
        <v>Falta pagar</v>
      </c>
      <c r="G108" s="7" t="str">
        <f t="shared" si="6"/>
        <v>Boa tarde boa tarde!! Seu número da rifa é o 287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8" t="str">
        <f t="shared" si="7"/>
        <v>Boa%20tarde%20boa%20tarde!!%20Seu%20número%20da%20rifa%20é%20o%20287%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8" t="str">
        <f t="shared" si="8"/>
        <v>https://web.whatsapp.com/send/?phone=12038640330&amp;text=Boa%20tarde%20boa%20tarde!!%20Seu%20número%20da%20rifa%20é%20o%20287%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9" spans="1:9">
      <c r="A109" s="1">
        <f>Original!I137</f>
        <v>4752065818</v>
      </c>
      <c r="B109" s="1">
        <f>Original!J137</f>
        <v>3</v>
      </c>
      <c r="C109" s="1">
        <f>Original!K137</f>
        <v>1</v>
      </c>
      <c r="D109" s="1" t="str">
        <f>Original!L137</f>
        <v>293, 388, 405</v>
      </c>
      <c r="E109" s="1" t="str">
        <f>Original!M137</f>
        <v>Dudu cat (f) ,Dudu cat ,Dudu cat</v>
      </c>
      <c r="F109" t="str">
        <f>IF(VLOOKUP(A109,Original!I:N,6,0)=0,"Já pagou","Falta pagar")</f>
        <v>Falta pagar</v>
      </c>
      <c r="G109" s="7" t="str">
        <f t="shared" si="6"/>
        <v>Boa tarde boa tarde!! Seus números da rifa são os 293, 388, 405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9" t="str">
        <f t="shared" si="7"/>
        <v>Boa%20tarde%20boa%20tarde!!%20Seus%20números%20da%20rifa%20são%20os%20293,%20388,%20405%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9" t="str">
        <f t="shared" si="8"/>
        <v>https://web.whatsapp.com/send/?phone=14752065818&amp;text=Boa%20tarde%20boa%20tarde!!%20Seus%20números%20da%20rifa%20são%20os%20293,%20388,%20405%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0" spans="1:9">
      <c r="A110" s="1">
        <f>Original!I138</f>
        <v>9144735582</v>
      </c>
      <c r="B110" s="1">
        <f>Original!J138</f>
        <v>1</v>
      </c>
      <c r="C110" s="1">
        <f>Original!K138</f>
        <v>0</v>
      </c>
      <c r="D110" s="1" t="str">
        <f>Original!L138</f>
        <v>300</v>
      </c>
      <c r="E110" s="1" t="str">
        <f>Original!M138</f>
        <v>Bico</v>
      </c>
      <c r="F110" t="str">
        <f>IF(VLOOKUP(A110,Original!I:N,6,0)=0,"Já pagou","Falta pagar")</f>
        <v>Falta pagar</v>
      </c>
      <c r="G110" s="7" t="str">
        <f t="shared" si="6"/>
        <v>Boa tarde boa tarde!! Seu número da rifa é o 300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0" t="str">
        <f t="shared" si="7"/>
        <v>Boa%20tarde%20boa%20tarde!!%20Seu%20número%20da%20rifa%20é%20o%20300%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0" t="str">
        <f t="shared" si="8"/>
        <v>https://web.whatsapp.com/send/?phone=19144735582&amp;text=Boa%20tarde%20boa%20tarde!!%20Seu%20número%20da%20rifa%20é%20o%20300%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1" spans="1:9">
      <c r="A111" s="1">
        <f>Original!I139</f>
        <v>2037264666</v>
      </c>
      <c r="B111" s="1">
        <f>Original!J139</f>
        <v>1</v>
      </c>
      <c r="C111" s="1">
        <f>Original!K139</f>
        <v>0</v>
      </c>
      <c r="D111" s="1" t="str">
        <f>Original!L139</f>
        <v>311</v>
      </c>
      <c r="E111" s="1" t="str">
        <f>Original!M139</f>
        <v>Glauber</v>
      </c>
      <c r="F111" t="str">
        <f>IF(VLOOKUP(A111,Original!I:N,6,0)=0,"Já pagou","Falta pagar")</f>
        <v>Falta pagar</v>
      </c>
      <c r="G111" s="7" t="str">
        <f t="shared" si="6"/>
        <v>Boa tarde boa tarde!! Seu número da rifa é o 311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1" t="str">
        <f t="shared" si="7"/>
        <v>Boa%20tarde%20boa%20tarde!!%20Seu%20número%20da%20rifa%20é%20o%20311%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1" t="str">
        <f t="shared" si="8"/>
        <v>https://web.whatsapp.com/send/?phone=12037264666&amp;text=Boa%20tarde%20boa%20tarde!!%20Seu%20número%20da%20rifa%20é%20o%20311%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2" spans="1:9">
      <c r="A112" s="1">
        <f>Original!I140</f>
        <v>2035221446</v>
      </c>
      <c r="B112" s="1">
        <f>Original!J140</f>
        <v>2</v>
      </c>
      <c r="C112" s="1">
        <f>Original!K140</f>
        <v>0</v>
      </c>
      <c r="D112" s="1" t="str">
        <f>Original!L140</f>
        <v>316, 485</v>
      </c>
      <c r="E112" s="1" t="str">
        <f>Original!M140</f>
        <v>NATALIA PIVA ,FABIO PIVA</v>
      </c>
      <c r="F112" t="str">
        <f>IF(VLOOKUP(A112,Original!I:N,6,0)=0,"Já pagou","Falta pagar")</f>
        <v>Falta pagar</v>
      </c>
      <c r="G112" s="7" t="str">
        <f t="shared" si="6"/>
        <v>Boa tarde boa tarde!! Seus números da rifa são os 316, 485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2" t="str">
        <f t="shared" si="7"/>
        <v>Boa%20tarde%20boa%20tarde!!%20Seus%20números%20da%20rifa%20são%20os%20316,%20485%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2" t="str">
        <f t="shared" si="8"/>
        <v>https://web.whatsapp.com/send/?phone=12035221446&amp;text=Boa%20tarde%20boa%20tarde!!%20Seus%20números%20da%20rifa%20são%20os%20316,%20485%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3" spans="1:9">
      <c r="A113" s="1">
        <f>Original!I141</f>
        <v>9145653559</v>
      </c>
      <c r="B113" s="1">
        <f>Original!J141</f>
        <v>1</v>
      </c>
      <c r="C113" s="1">
        <f>Original!K141</f>
        <v>0</v>
      </c>
      <c r="D113" s="1" t="str">
        <f>Original!L141</f>
        <v>317</v>
      </c>
      <c r="E113" s="1" t="str">
        <f>Original!M141</f>
        <v>ROVILSON</v>
      </c>
      <c r="F113" t="str">
        <f>IF(VLOOKUP(A113,Original!I:N,6,0)=0,"Já pagou","Falta pagar")</f>
        <v>Falta pagar</v>
      </c>
      <c r="G113" s="7" t="str">
        <f t="shared" si="6"/>
        <v>Boa tarde boa tarde!! Seu número da rifa é o 317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3" t="str">
        <f t="shared" si="7"/>
        <v>Boa%20tarde%20boa%20tarde!!%20Seu%20número%20da%20rifa%20é%20o%20317%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3" t="str">
        <f t="shared" si="8"/>
        <v>https://web.whatsapp.com/send/?phone=19145653559&amp;text=Boa%20tarde%20boa%20tarde!!%20Seu%20número%20da%20rifa%20é%20o%20317%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4" spans="1:9">
      <c r="A114" s="1">
        <f>Original!I142</f>
        <v>5042666286</v>
      </c>
      <c r="B114" s="1">
        <f>Original!J142</f>
        <v>1</v>
      </c>
      <c r="C114" s="1">
        <f>Original!K142</f>
        <v>0</v>
      </c>
      <c r="D114" s="1" t="str">
        <f>Original!L142</f>
        <v>327</v>
      </c>
      <c r="E114" s="1" t="str">
        <f>Original!M142</f>
        <v>TATI CUMPA</v>
      </c>
      <c r="F114" t="str">
        <f>IF(VLOOKUP(A114,Original!I:N,6,0)=0,"Já pagou","Falta pagar")</f>
        <v>Falta pagar</v>
      </c>
      <c r="G114" s="7" t="str">
        <f t="shared" si="6"/>
        <v>Boa tarde boa tarde!! Seu número da rifa é o 327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4" t="str">
        <f t="shared" si="7"/>
        <v>Boa%20tarde%20boa%20tarde!!%20Seu%20número%20da%20rifa%20é%20o%20327%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4" t="str">
        <f t="shared" si="8"/>
        <v>https://web.whatsapp.com/send/?phone=15042666286&amp;text=Boa%20tarde%20boa%20tarde!!%20Seu%20número%20da%20rifa%20é%20o%20327%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5" spans="1:9">
      <c r="A115" s="1">
        <f>Original!I143</f>
        <v>9148799779</v>
      </c>
      <c r="B115" s="1">
        <f>Original!J143</f>
        <v>3</v>
      </c>
      <c r="C115" s="1">
        <f>Original!K143</f>
        <v>3</v>
      </c>
      <c r="D115" s="1" t="str">
        <f>Original!L143</f>
        <v>328, 351, 456</v>
      </c>
      <c r="E115" s="1" t="str">
        <f>Original!M143</f>
        <v>João / filho (f) ,João/folho pg ,João /filho pg</v>
      </c>
      <c r="F115" t="str">
        <f>IF(VLOOKUP(A115,Original!I:N,6,0)=0,"Já pagou","Falta pagar")</f>
        <v>Já pagou</v>
      </c>
      <c r="G115" s="7" t="str">
        <f t="shared" si="6"/>
        <v>Boa tarde boa tarde!! Seus números da rifa são os 328, 351, 456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5" t="str">
        <f t="shared" si="7"/>
        <v>Boa%20tarde%20boa%20tarde!!%20Seus%20números%20da%20rifa%20são%20os%20328,%20351,%20456%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5" t="str">
        <f t="shared" si="8"/>
        <v>https://web.whatsapp.com/send/?phone=19148799779&amp;text=Boa%20tarde%20boa%20tarde!!%20Seus%20números%20da%20rifa%20são%20os%20328,%20351,%20456%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6" spans="1:9">
      <c r="A116" s="1">
        <f>Original!I144</f>
        <v>9143190338</v>
      </c>
      <c r="B116" s="1">
        <f>Original!J144</f>
        <v>4</v>
      </c>
      <c r="C116" s="1">
        <f>Original!K144</f>
        <v>2</v>
      </c>
      <c r="D116" s="1" t="str">
        <f>Original!L144</f>
        <v>124, 329, 416, 462</v>
      </c>
      <c r="E116" s="1" t="str">
        <f>Original!M144</f>
        <v>JONH pg ,Thiago / Jon ,Thiago / Jon ,Thiago / Jon (f)</v>
      </c>
      <c r="F116" t="str">
        <f>IF(VLOOKUP(A116,Original!I:N,6,0)=0,"Já pagou","Falta pagar")</f>
        <v>Falta pagar</v>
      </c>
      <c r="G116" s="7" t="str">
        <f t="shared" si="6"/>
        <v>Boa tarde boa tarde!! Seus números da rifa são os 124, 329, 416, 462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6" t="str">
        <f t="shared" si="7"/>
        <v>Boa%20tarde%20boa%20tarde!!%20Seus%20números%20da%20rifa%20são%20os%20124,%20329,%20416,%20462%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6" t="str">
        <f t="shared" si="8"/>
        <v>https://web.whatsapp.com/send/?phone=19143190338&amp;text=Boa%20tarde%20boa%20tarde!!%20Seus%20números%20da%20rifa%20são%20os%20124,%20329,%20416,%20462%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7" spans="1:9">
      <c r="A117" s="1">
        <f>Original!I145</f>
        <v>2035456583</v>
      </c>
      <c r="B117" s="1">
        <f>Original!J145</f>
        <v>1</v>
      </c>
      <c r="C117" s="1">
        <f>Original!K145</f>
        <v>1</v>
      </c>
      <c r="D117" s="1" t="str">
        <f>Original!L145</f>
        <v>330</v>
      </c>
      <c r="E117" s="1" t="str">
        <f>Original!M145</f>
        <v>Junior /Rodrigao pg</v>
      </c>
      <c r="F117" t="str">
        <f>IF(VLOOKUP(A117,Original!I:N,6,0)=0,"Já pagou","Falta pagar")</f>
        <v>Já pagou</v>
      </c>
      <c r="G117" s="7" t="str">
        <f t="shared" si="6"/>
        <v>Boa tarde boa tarde!! Seu número da rifa é o 330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7" t="str">
        <f t="shared" si="7"/>
        <v>Boa%20tarde%20boa%20tarde!!%20Seu%20número%20da%20rifa%20é%20o%20330%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7" t="str">
        <f t="shared" si="8"/>
        <v>https://web.whatsapp.com/send/?phone=12035456583&amp;text=Boa%20tarde%20boa%20tarde!!%20Seu%20número%20da%20rifa%20é%20o%20330%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8" spans="1:9">
      <c r="A118" s="1">
        <f>Original!I146</f>
        <v>2039812008</v>
      </c>
      <c r="B118" s="1">
        <f>Original!J146</f>
        <v>1</v>
      </c>
      <c r="C118" s="1">
        <f>Original!K146</f>
        <v>1</v>
      </c>
      <c r="D118" s="1" t="str">
        <f>Original!L146</f>
        <v>332</v>
      </c>
      <c r="E118" s="1" t="str">
        <f>Original!M146</f>
        <v>Ataide Junior pg</v>
      </c>
      <c r="F118" t="str">
        <f>IF(VLOOKUP(A118,Original!I:N,6,0)=0,"Já pagou","Falta pagar")</f>
        <v>Já pagou</v>
      </c>
      <c r="G118" s="7" t="str">
        <f t="shared" si="6"/>
        <v>Boa tarde boa tarde!! Seu número da rifa é o 332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8" t="str">
        <f t="shared" si="7"/>
        <v>Boa%20tarde%20boa%20tarde!!%20Seu%20número%20da%20rifa%20é%20o%20332%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8" t="str">
        <f t="shared" si="8"/>
        <v>https://web.whatsapp.com/send/?phone=12039812008&amp;text=Boa%20tarde%20boa%20tarde!!%20Seu%20número%20da%20rifa%20é%20o%20332%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9" spans="1:9">
      <c r="A119" s="1">
        <f>Original!I147</f>
        <v>2035450805</v>
      </c>
      <c r="B119" s="1">
        <f>Original!J147</f>
        <v>2</v>
      </c>
      <c r="C119" s="1">
        <f>Original!K147</f>
        <v>2</v>
      </c>
      <c r="D119" s="1" t="str">
        <f>Original!L147</f>
        <v>333, 477</v>
      </c>
      <c r="E119" s="1" t="str">
        <f>Original!M147</f>
        <v>DEMI pg ,DEMI pg</v>
      </c>
      <c r="F119" t="str">
        <f>IF(VLOOKUP(A119,Original!I:N,6,0)=0,"Já pagou","Falta pagar")</f>
        <v>Já pagou</v>
      </c>
      <c r="G119" s="7" t="str">
        <f t="shared" si="6"/>
        <v>Boa tarde boa tarde!! Seus números da rifa são os 333, 477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9" t="str">
        <f t="shared" si="7"/>
        <v>Boa%20tarde%20boa%20tarde!!%20Seus%20números%20da%20rifa%20são%20os%20333,%20477%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9" t="str">
        <f t="shared" si="8"/>
        <v>https://web.whatsapp.com/send/?phone=12035450805&amp;text=Boa%20tarde%20boa%20tarde!!%20Seus%20números%20da%20rifa%20são%20os%20333,%20477%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0" spans="1:9">
      <c r="A120" s="1">
        <f>Original!I148</f>
        <v>4752390719</v>
      </c>
      <c r="B120" s="1">
        <f>Original!J148</f>
        <v>1</v>
      </c>
      <c r="C120" s="1">
        <f>Original!K148</f>
        <v>1</v>
      </c>
      <c r="D120" s="1" t="str">
        <f>Original!L148</f>
        <v>345</v>
      </c>
      <c r="E120" s="1" t="str">
        <f>Original!M148</f>
        <v>EDERALDO pg</v>
      </c>
      <c r="F120" t="str">
        <f>IF(VLOOKUP(A120,Original!I:N,6,0)=0,"Já pagou","Falta pagar")</f>
        <v>Já pagou</v>
      </c>
      <c r="G120" s="7" t="str">
        <f t="shared" si="6"/>
        <v>Boa tarde boa tarde!! Seu número da rifa é o 345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0" t="str">
        <f t="shared" si="7"/>
        <v>Boa%20tarde%20boa%20tarde!!%20Seu%20número%20da%20rifa%20é%20o%20345%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0" t="str">
        <f t="shared" si="8"/>
        <v>https://web.whatsapp.com/send/?phone=14752390719&amp;text=Boa%20tarde%20boa%20tarde!!%20Seu%20número%20da%20rifa%20é%20o%20345%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1" spans="1:9">
      <c r="A121" s="1">
        <f>Original!I149</f>
        <v>9143544961</v>
      </c>
      <c r="B121" s="1">
        <f>Original!J149</f>
        <v>1</v>
      </c>
      <c r="C121" s="1">
        <f>Original!K149</f>
        <v>0</v>
      </c>
      <c r="D121" s="1" t="str">
        <f>Original!L149</f>
        <v>348</v>
      </c>
      <c r="E121" s="1" t="str">
        <f>Original!M149</f>
        <v>João da Deli</v>
      </c>
      <c r="F121" t="str">
        <f>IF(VLOOKUP(A121,Original!I:N,6,0)=0,"Já pagou","Falta pagar")</f>
        <v>Falta pagar</v>
      </c>
      <c r="G121" s="7" t="str">
        <f t="shared" si="6"/>
        <v>Boa tarde boa tarde!! Seu número da rifa é o 348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1" t="str">
        <f t="shared" si="7"/>
        <v>Boa%20tarde%20boa%20tarde!!%20Seu%20número%20da%20rifa%20é%20o%20348%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1" t="str">
        <f t="shared" si="8"/>
        <v>https://web.whatsapp.com/send/?phone=19143544961&amp;text=Boa%20tarde%20boa%20tarde!!%20Seu%20número%20da%20rifa%20é%20o%20348%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2" spans="1:9">
      <c r="A122" s="1">
        <f>Original!I150</f>
        <v>9143563105</v>
      </c>
      <c r="B122" s="1">
        <f>Original!J150</f>
        <v>2</v>
      </c>
      <c r="C122" s="1">
        <f>Original!K150</f>
        <v>2</v>
      </c>
      <c r="D122" s="1" t="str">
        <f>Original!L150</f>
        <v>356, 364</v>
      </c>
      <c r="E122" s="1" t="str">
        <f>Original!M150</f>
        <v>DANIEL SILVA pg ,Daniel Silva pg</v>
      </c>
      <c r="F122" t="str">
        <f>IF(VLOOKUP(A122,Original!I:N,6,0)=0,"Já pagou","Falta pagar")</f>
        <v>Já pagou</v>
      </c>
      <c r="G122" s="7" t="str">
        <f t="shared" si="6"/>
        <v>Boa tarde boa tarde!! Seus números da rifa são os 356, 364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2" t="str">
        <f t="shared" si="7"/>
        <v>Boa%20tarde%20boa%20tarde!!%20Seus%20números%20da%20rifa%20são%20os%20356,%20364%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2" t="str">
        <f t="shared" si="8"/>
        <v>https://web.whatsapp.com/send/?phone=19143563105&amp;text=Boa%20tarde%20boa%20tarde!!%20Seus%20números%20da%20rifa%20são%20os%20356,%20364%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3" spans="1:9">
      <c r="A123" s="1">
        <f>Original!I151</f>
        <v>9542976570</v>
      </c>
      <c r="B123" s="1">
        <f>Original!J151</f>
        <v>1</v>
      </c>
      <c r="C123" s="1">
        <f>Original!K151</f>
        <v>0</v>
      </c>
      <c r="D123" s="1" t="str">
        <f>Original!L151</f>
        <v>357</v>
      </c>
      <c r="E123" s="1" t="str">
        <f>Original!M151</f>
        <v>Berg</v>
      </c>
      <c r="F123" t="str">
        <f>IF(VLOOKUP(A123,Original!I:N,6,0)=0,"Já pagou","Falta pagar")</f>
        <v>Falta pagar</v>
      </c>
      <c r="G123" s="7" t="str">
        <f t="shared" si="6"/>
        <v>Boa tarde boa tarde!! Seu número da rifa é o 357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3" t="str">
        <f t="shared" si="7"/>
        <v>Boa%20tarde%20boa%20tarde!!%20Seu%20número%20da%20rifa%20é%20o%20357%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3" t="str">
        <f t="shared" si="8"/>
        <v>https://web.whatsapp.com/send/?phone=19542976570&amp;text=Boa%20tarde%20boa%20tarde!!%20Seu%20número%20da%20rifa%20é%20o%20357%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4" spans="1:9">
      <c r="A124" s="1">
        <f>Original!I152</f>
        <v>2038146659</v>
      </c>
      <c r="B124" s="1">
        <f>Original!J152</f>
        <v>1</v>
      </c>
      <c r="C124" s="1">
        <f>Original!K152</f>
        <v>1</v>
      </c>
      <c r="D124" s="1" t="str">
        <f>Original!L152</f>
        <v>369</v>
      </c>
      <c r="E124" s="1" t="str">
        <f>Original!M152</f>
        <v>Leonardo Viana pg</v>
      </c>
      <c r="F124" t="str">
        <f>IF(VLOOKUP(A124,Original!I:N,6,0)=0,"Já pagou","Falta pagar")</f>
        <v>Já pagou</v>
      </c>
      <c r="G124" s="7" t="str">
        <f t="shared" si="6"/>
        <v>Boa tarde boa tarde!! Seu número da rifa é o 369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4" t="str">
        <f t="shared" si="7"/>
        <v>Boa%20tarde%20boa%20tarde!!%20Seu%20número%20da%20rifa%20é%20o%20369%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4" t="str">
        <f t="shared" si="8"/>
        <v>https://web.whatsapp.com/send/?phone=12038146659&amp;text=Boa%20tarde%20boa%20tarde!!%20Seu%20número%20da%20rifa%20é%20o%20369%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5" spans="1:9">
      <c r="A125" s="1">
        <f>Original!I153</f>
        <v>9148043987</v>
      </c>
      <c r="B125" s="1">
        <f>Original!J153</f>
        <v>3</v>
      </c>
      <c r="C125" s="1">
        <f>Original!K153</f>
        <v>0</v>
      </c>
      <c r="D125" s="1" t="str">
        <f>Original!L153</f>
        <v>370, 480, 486</v>
      </c>
      <c r="E125" s="1" t="str">
        <f>Original!M153</f>
        <v>WEC ,WEC ,We</v>
      </c>
      <c r="F125" t="str">
        <f>IF(VLOOKUP(A125,Original!I:N,6,0)=0,"Já pagou","Falta pagar")</f>
        <v>Falta pagar</v>
      </c>
      <c r="G125" s="7" t="str">
        <f t="shared" si="6"/>
        <v>Boa tarde boa tarde!! Seus números da rifa são os 370, 480, 486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5" t="str">
        <f t="shared" si="7"/>
        <v>Boa%20tarde%20boa%20tarde!!%20Seus%20números%20da%20rifa%20são%20os%20370,%20480,%20486%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5" t="str">
        <f t="shared" si="8"/>
        <v>https://web.whatsapp.com/send/?phone=19148043987&amp;text=Boa%20tarde%20boa%20tarde!!%20Seus%20números%20da%20rifa%20são%20os%20370,%20480,%20486%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6" spans="1:9">
      <c r="A126" s="1">
        <f>Original!I154</f>
        <v>4752337695</v>
      </c>
      <c r="B126" s="1">
        <f>Original!J154</f>
        <v>2</v>
      </c>
      <c r="C126" s="1">
        <f>Original!K154</f>
        <v>0</v>
      </c>
      <c r="D126" s="1" t="str">
        <f>Original!L154</f>
        <v>380, 390</v>
      </c>
      <c r="E126" s="1" t="str">
        <f>Original!M154</f>
        <v>GV ,GV Gabriel</v>
      </c>
      <c r="F126" t="str">
        <f>IF(VLOOKUP(A126,Original!I:N,6,0)=0,"Já pagou","Falta pagar")</f>
        <v>Falta pagar</v>
      </c>
      <c r="G126" s="7" t="str">
        <f t="shared" si="6"/>
        <v>Boa tarde boa tarde!! Seus números da rifa são os 380, 390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6" t="str">
        <f t="shared" si="7"/>
        <v>Boa%20tarde%20boa%20tarde!!%20Seus%20números%20da%20rifa%20são%20os%20380,%20390%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6" t="str">
        <f t="shared" si="8"/>
        <v>https://web.whatsapp.com/send/?phone=14752337695&amp;text=Boa%20tarde%20boa%20tarde!!%20Seus%20números%20da%20rifa%20são%20os%20380,%20390%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7" spans="1:9">
      <c r="A127" s="1">
        <f>Original!I155</f>
        <v>9144690686</v>
      </c>
      <c r="B127" s="1">
        <f>Original!J155</f>
        <v>3</v>
      </c>
      <c r="C127" s="1">
        <f>Original!K155</f>
        <v>0</v>
      </c>
      <c r="D127" s="1" t="str">
        <f>Original!L155</f>
        <v>94, 382, 394</v>
      </c>
      <c r="E127" s="1" t="str">
        <f>Original!M155</f>
        <v>GUILHERME NOGUEIRA ,ALEX BARBOSA ,ALEX BARBOSA</v>
      </c>
      <c r="F127" t="str">
        <f>IF(VLOOKUP(A127,Original!I:N,6,0)=0,"Já pagou","Falta pagar")</f>
        <v>Falta pagar</v>
      </c>
      <c r="G127" s="7" t="str">
        <f t="shared" si="6"/>
        <v>Boa tarde boa tarde!! Seus números da rifa são os 94, 382, 394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7" t="str">
        <f t="shared" si="7"/>
        <v>Boa%20tarde%20boa%20tarde!!%20Seus%20números%20da%20rifa%20são%20os%2094,%20382,%20394%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7" t="str">
        <f t="shared" si="8"/>
        <v>https://web.whatsapp.com/send/?phone=19144690686&amp;text=Boa%20tarde%20boa%20tarde!!%20Seus%20números%20da%20rifa%20são%20os%2094,%20382,%20394%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8" spans="1:9">
      <c r="A128" s="1">
        <f>Original!I156</f>
        <v>9144909467</v>
      </c>
      <c r="B128" s="1">
        <f>Original!J156</f>
        <v>1</v>
      </c>
      <c r="C128" s="1">
        <f>Original!K156</f>
        <v>1</v>
      </c>
      <c r="D128" s="1" t="str">
        <f>Original!L156</f>
        <v>384</v>
      </c>
      <c r="E128" s="1" t="str">
        <f>Original!M156</f>
        <v>Tuca tucano pg</v>
      </c>
      <c r="F128" t="str">
        <f>IF(VLOOKUP(A128,Original!I:N,6,0)=0,"Já pagou","Falta pagar")</f>
        <v>Já pagou</v>
      </c>
      <c r="G128" s="7" t="str">
        <f t="shared" si="6"/>
        <v>Boa tarde boa tarde!! Seu número da rifa é o 384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8" t="str">
        <f t="shared" si="7"/>
        <v>Boa%20tarde%20boa%20tarde!!%20Seu%20número%20da%20rifa%20é%20o%20384%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8" t="str">
        <f t="shared" si="8"/>
        <v>https://web.whatsapp.com/send/?phone=19144909467&amp;text=Boa%20tarde%20boa%20tarde!!%20Seu%20número%20da%20rifa%20é%20o%20384%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9" spans="1:9">
      <c r="A129" s="1">
        <f>Original!I157</f>
        <v>2035268465</v>
      </c>
      <c r="B129" s="1">
        <f>Original!J157</f>
        <v>1</v>
      </c>
      <c r="C129" s="1">
        <f>Original!K157</f>
        <v>0</v>
      </c>
      <c r="D129" s="1" t="str">
        <f>Original!L157</f>
        <v>395</v>
      </c>
      <c r="E129" s="1" t="str">
        <f>Original!M157</f>
        <v>THIAGO NUNES</v>
      </c>
      <c r="F129" t="str">
        <f>IF(VLOOKUP(A129,Original!I:N,6,0)=0,"Já pagou","Falta pagar")</f>
        <v>Falta pagar</v>
      </c>
      <c r="G129" s="7" t="str">
        <f t="shared" si="6"/>
        <v>Boa tarde boa tarde!! Seu número da rifa é o 395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9" t="str">
        <f t="shared" si="7"/>
        <v>Boa%20tarde%20boa%20tarde!!%20Seu%20número%20da%20rifa%20é%20o%20395%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9" t="str">
        <f t="shared" si="8"/>
        <v>https://web.whatsapp.com/send/?phone=12035268465&amp;text=Boa%20tarde%20boa%20tarde!!%20Seu%20número%20da%20rifa%20é%20o%20395%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0" spans="1:9">
      <c r="A130" s="1">
        <f>Original!I158</f>
        <v>2035127679</v>
      </c>
      <c r="B130" s="1">
        <f>Original!J158</f>
        <v>1</v>
      </c>
      <c r="C130" s="1">
        <f>Original!K158</f>
        <v>0</v>
      </c>
      <c r="D130" s="1" t="str">
        <f>Original!L158</f>
        <v>399</v>
      </c>
      <c r="E130" s="1" t="str">
        <f>Original!M158</f>
        <v>KAIO</v>
      </c>
      <c r="F130" t="str">
        <f>IF(VLOOKUP(A130,Original!I:N,6,0)=0,"Já pagou","Falta pagar")</f>
        <v>Falta pagar</v>
      </c>
      <c r="G130" s="7" t="str">
        <f t="shared" si="6"/>
        <v>Boa tarde boa tarde!! Seu número da rifa é o 399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0" t="str">
        <f t="shared" si="7"/>
        <v>Boa%20tarde%20boa%20tarde!!%20Seu%20número%20da%20rifa%20é%20o%20399%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0" t="str">
        <f t="shared" si="8"/>
        <v>https://web.whatsapp.com/send/?phone=12035127679&amp;text=Boa%20tarde%20boa%20tarde!!%20Seu%20número%20da%20rifa%20é%20o%20399%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1" spans="1:9">
      <c r="A131" s="1">
        <f>Original!I159</f>
        <v>2036838414</v>
      </c>
      <c r="B131" s="1">
        <f>Original!J159</f>
        <v>1</v>
      </c>
      <c r="C131" s="1">
        <f>Original!K159</f>
        <v>0</v>
      </c>
      <c r="D131" s="1" t="str">
        <f>Original!L159</f>
        <v>401</v>
      </c>
      <c r="E131" s="1" t="str">
        <f>Original!M159</f>
        <v>Samuel</v>
      </c>
      <c r="F131" t="str">
        <f>IF(VLOOKUP(A131,Original!I:N,6,0)=0,"Já pagou","Falta pagar")</f>
        <v>Falta pagar</v>
      </c>
      <c r="G131" s="7" t="str">
        <f t="shared" si="6"/>
        <v>Boa tarde boa tarde!! Seu número da rifa é o 401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1" t="str">
        <f t="shared" si="7"/>
        <v>Boa%20tarde%20boa%20tarde!!%20Seu%20número%20da%20rifa%20é%20o%20401%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1" t="str">
        <f t="shared" si="8"/>
        <v>https://web.whatsapp.com/send/?phone=12036838414&amp;text=Boa%20tarde%20boa%20tarde!!%20Seu%20número%20da%20rifa%20é%20o%20401%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2" spans="1:9">
      <c r="A132" s="1">
        <f>Original!I160</f>
        <v>7327684454</v>
      </c>
      <c r="B132" s="1">
        <f>Original!J160</f>
        <v>1</v>
      </c>
      <c r="C132" s="1">
        <f>Original!K160</f>
        <v>0</v>
      </c>
      <c r="D132" s="1" t="str">
        <f>Original!L160</f>
        <v>403</v>
      </c>
      <c r="E132" s="1" t="str">
        <f>Original!M160</f>
        <v>SOFIA</v>
      </c>
      <c r="F132" t="str">
        <f>IF(VLOOKUP(A132,Original!I:N,6,0)=0,"Já pagou","Falta pagar")</f>
        <v>Falta pagar</v>
      </c>
      <c r="G132" s="7" t="str">
        <f t="shared" si="6"/>
        <v>Boa tarde boa tarde!! Seu número da rifa é o 403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2" t="str">
        <f t="shared" si="7"/>
        <v>Boa%20tarde%20boa%20tarde!!%20Seu%20número%20da%20rifa%20é%20o%20403%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2" t="str">
        <f t="shared" si="8"/>
        <v>https://web.whatsapp.com/send/?phone=17327684454&amp;text=Boa%20tarde%20boa%20tarde!!%20Seu%20número%20da%20rifa%20é%20o%20403%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3" spans="1:9">
      <c r="A133" s="1">
        <f>Original!I161</f>
        <v>8453066909</v>
      </c>
      <c r="B133" s="1">
        <f>Original!J161</f>
        <v>1</v>
      </c>
      <c r="C133" s="1">
        <f>Original!K161</f>
        <v>0</v>
      </c>
      <c r="D133" s="1" t="str">
        <f>Original!L161</f>
        <v>407</v>
      </c>
      <c r="E133" s="1" t="str">
        <f>Original!M161</f>
        <v>Marcelo Simão</v>
      </c>
      <c r="F133" t="str">
        <f>IF(VLOOKUP(A133,Original!I:N,6,0)=0,"Já pagou","Falta pagar")</f>
        <v>Falta pagar</v>
      </c>
      <c r="G133" s="7" t="str">
        <f t="shared" si="6"/>
        <v>Boa tarde boa tarde!! Seu número da rifa é o 407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3" t="str">
        <f t="shared" si="7"/>
        <v>Boa%20tarde%20boa%20tarde!!%20Seu%20número%20da%20rifa%20é%20o%20407%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3" t="str">
        <f t="shared" si="8"/>
        <v>https://web.whatsapp.com/send/?phone=18453066909&amp;text=Boa%20tarde%20boa%20tarde!!%20Seu%20número%20da%20rifa%20é%20o%20407%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4" spans="1:9">
      <c r="A134" s="1">
        <f>Original!I162</f>
        <v>2036825960</v>
      </c>
      <c r="B134" s="1">
        <f>Original!J162</f>
        <v>1</v>
      </c>
      <c r="C134" s="1">
        <f>Original!K162</f>
        <v>1</v>
      </c>
      <c r="D134" s="1" t="str">
        <f>Original!L162</f>
        <v>414</v>
      </c>
      <c r="E134" s="1" t="str">
        <f>Original!M162</f>
        <v>CESINHA pg</v>
      </c>
      <c r="F134" t="str">
        <f>IF(VLOOKUP(A134,Original!I:N,6,0)=0,"Já pagou","Falta pagar")</f>
        <v>Já pagou</v>
      </c>
      <c r="G134" s="7" t="str">
        <f t="shared" si="6"/>
        <v>Boa tarde boa tarde!! Seu número da rifa é o 414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4" t="str">
        <f t="shared" si="7"/>
        <v>Boa%20tarde%20boa%20tarde!!%20Seu%20número%20da%20rifa%20é%20o%20414%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4" t="str">
        <f t="shared" si="8"/>
        <v>https://web.whatsapp.com/send/?phone=12036825960&amp;text=Boa%20tarde%20boa%20tarde!!%20Seu%20número%20da%20rifa%20é%20o%20414%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5" spans="1:9">
      <c r="A135" s="1">
        <f>Original!I163</f>
        <v>9145654492</v>
      </c>
      <c r="B135" s="1">
        <f>Original!J163</f>
        <v>1</v>
      </c>
      <c r="C135" s="1">
        <f>Original!K163</f>
        <v>0</v>
      </c>
      <c r="D135" s="1" t="str">
        <f>Original!L163</f>
        <v>422</v>
      </c>
      <c r="E135" s="1" t="str">
        <f>Original!M163</f>
        <v>Thiago /valesca</v>
      </c>
      <c r="F135" t="str">
        <f>IF(VLOOKUP(A135,Original!I:N,6,0)=0,"Já pagou","Falta pagar")</f>
        <v>Falta pagar</v>
      </c>
      <c r="G135" s="7" t="str">
        <f t="shared" si="6"/>
        <v>Boa tarde boa tarde!! Seu número da rifa é o 422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5" t="str">
        <f t="shared" si="7"/>
        <v>Boa%20tarde%20boa%20tarde!!%20Seu%20número%20da%20rifa%20é%20o%20422%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5" t="str">
        <f t="shared" si="8"/>
        <v>https://web.whatsapp.com/send/?phone=19145654492&amp;text=Boa%20tarde%20boa%20tarde!!%20Seu%20número%20da%20rifa%20é%20o%20422%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6" spans="1:9">
      <c r="A136" s="1">
        <f>Original!I164</f>
        <v>9144061023</v>
      </c>
      <c r="B136" s="1">
        <f>Original!J164</f>
        <v>1</v>
      </c>
      <c r="C136" s="1">
        <f>Original!K164</f>
        <v>0</v>
      </c>
      <c r="D136" s="1" t="str">
        <f>Original!L164</f>
        <v>425</v>
      </c>
      <c r="E136" s="1" t="str">
        <f>Original!M164</f>
        <v>Neima Paulino</v>
      </c>
      <c r="F136" t="str">
        <f>IF(VLOOKUP(A136,Original!I:N,6,0)=0,"Já pagou","Falta pagar")</f>
        <v>Falta pagar</v>
      </c>
      <c r="G136" s="7" t="str">
        <f t="shared" si="6"/>
        <v>Boa tarde boa tarde!! Seu número da rifa é o 425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6" t="str">
        <f t="shared" si="7"/>
        <v>Boa%20tarde%20boa%20tarde!!%20Seu%20número%20da%20rifa%20é%20o%20425%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6" t="str">
        <f t="shared" si="8"/>
        <v>https://web.whatsapp.com/send/?phone=19144061023&amp;text=Boa%20tarde%20boa%20tarde!!%20Seu%20número%20da%20rifa%20é%20o%20425%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7" spans="1:9">
      <c r="A137" s="1">
        <f>Original!I165</f>
        <v>9145226788</v>
      </c>
      <c r="B137" s="1">
        <f>Original!J165</f>
        <v>1</v>
      </c>
      <c r="C137" s="1">
        <f>Original!K165</f>
        <v>1</v>
      </c>
      <c r="D137" s="1" t="str">
        <f>Original!L165</f>
        <v>432</v>
      </c>
      <c r="E137" s="1" t="str">
        <f>Original!M165</f>
        <v>Leandro / Dione pg</v>
      </c>
      <c r="F137" t="str">
        <f>IF(VLOOKUP(A137,Original!I:N,6,0)=0,"Já pagou","Falta pagar")</f>
        <v>Já pagou</v>
      </c>
      <c r="G137" s="7" t="str">
        <f t="shared" si="6"/>
        <v>Boa tarde boa tarde!! Seu número da rifa é o 432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7" t="str">
        <f t="shared" si="7"/>
        <v>Boa%20tarde%20boa%20tarde!!%20Seu%20número%20da%20rifa%20é%20o%20432%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7" t="str">
        <f t="shared" si="8"/>
        <v>https://web.whatsapp.com/send/?phone=19145226788&amp;text=Boa%20tarde%20boa%20tarde!!%20Seu%20número%20da%20rifa%20é%20o%20432%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8" spans="1:9">
      <c r="A138" s="1">
        <f>Original!I166</f>
        <v>2032283876</v>
      </c>
      <c r="B138" s="1">
        <f>Original!J166</f>
        <v>1</v>
      </c>
      <c r="C138" s="1">
        <f>Original!K166</f>
        <v>1</v>
      </c>
      <c r="D138" s="1" t="str">
        <f>Original!L166</f>
        <v>475</v>
      </c>
      <c r="E138" s="1" t="str">
        <f>Original!M166</f>
        <v>Junior cabra bom pg</v>
      </c>
      <c r="F138" t="str">
        <f>IF(VLOOKUP(A138,Original!I:N,6,0)=0,"Já pagou","Falta pagar")</f>
        <v>Já pagou</v>
      </c>
      <c r="G138" s="7" t="str">
        <f t="shared" si="6"/>
        <v>Boa tarde boa tarde!! Seu número da rifa é o 475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8" t="str">
        <f t="shared" si="7"/>
        <v>Boa%20tarde%20boa%20tarde!!%20Seu%20número%20da%20rifa%20é%20o%20475%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8" t="str">
        <f t="shared" si="8"/>
        <v>https://web.whatsapp.com/send/?phone=12032283876&amp;text=Boa%20tarde%20boa%20tarde!!%20Seu%20número%20da%20rifa%20é%20o%20475%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9" spans="1:9">
      <c r="A139" s="1">
        <f>Original!I167</f>
        <v>2033216644</v>
      </c>
      <c r="B139" s="1">
        <f>Original!J167</f>
        <v>1</v>
      </c>
      <c r="C139" s="1">
        <f>Original!K167</f>
        <v>1</v>
      </c>
      <c r="D139" s="1" t="str">
        <f>Original!L167</f>
        <v>483</v>
      </c>
      <c r="E139" s="1" t="str">
        <f>Original!M167</f>
        <v>Fábio Verizon pg</v>
      </c>
      <c r="F139" t="str">
        <f>IF(VLOOKUP(A139,Original!I:N,6,0)=0,"Já pagou","Falta pagar")</f>
        <v>Já pagou</v>
      </c>
      <c r="G139" s="7" t="str">
        <f t="shared" si="6"/>
        <v>Boa tarde boa tarde!! Seu número da rifa é o 483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9" t="str">
        <f t="shared" si="7"/>
        <v>Boa%20tarde%20boa%20tarde!!%20Seu%20número%20da%20rifa%20é%20o%20483%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9" t="str">
        <f t="shared" si="8"/>
        <v>https://web.whatsapp.com/send/?phone=12033216644&amp;text=Boa%20tarde%20boa%20tarde!!%20Seu%20número%20da%20rifa%20é%20o%20483%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</sheetData>
  <autoFilter ref="A1:J139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F18" sqref="F18"/>
    </sheetView>
  </sheetViews>
  <sheetFormatPr defaultRowHeight="13.8"/>
  <cols>
    <col min="1" max="1" width="14.09765625" bestFit="1" customWidth="1"/>
    <col min="5" max="5" width="40.09765625" customWidth="1"/>
  </cols>
  <sheetData>
    <row r="1" spans="1:10" ht="14.4">
      <c r="A1" s="1" t="str">
        <f>Original!I1</f>
        <v>TELEFONE</v>
      </c>
      <c r="B1" s="1" t="str">
        <f>Original!J1</f>
        <v>QTD DE NUMEROS</v>
      </c>
      <c r="C1" s="1" t="str">
        <f>Original!K1</f>
        <v>QTD PAGOS</v>
      </c>
      <c r="D1" s="1" t="str">
        <f>Original!L1</f>
        <v>NUMEROS ESCOLHIDOS</v>
      </c>
      <c r="E1" s="1" t="str">
        <f>Original!M1</f>
        <v>NOMES ESCOLHIDOS</v>
      </c>
      <c r="F1" t="s">
        <v>343</v>
      </c>
      <c r="G1" t="s">
        <v>344</v>
      </c>
      <c r="H1" t="s">
        <v>344</v>
      </c>
      <c r="I1" t="s">
        <v>345</v>
      </c>
      <c r="J1" s="1">
        <v>9143629635</v>
      </c>
    </row>
    <row r="2" spans="1:10" ht="14.4">
      <c r="A2" s="1">
        <v>5511976704883</v>
      </c>
      <c r="B2" s="1">
        <f>Original!J2</f>
        <v>3</v>
      </c>
      <c r="C2" s="1">
        <f>Original!K2</f>
        <v>0</v>
      </c>
      <c r="D2" s="1" t="str">
        <f>Original!L2</f>
        <v>1, 268, 318</v>
      </c>
      <c r="E2" s="1" t="str">
        <f>Original!M2</f>
        <v>FERNANDO CUMPA ,VALENTINA ,KEVIN CUMPA</v>
      </c>
      <c r="F2" t="s">
        <v>346</v>
      </c>
      <c r="G2" s="7" t="str">
        <f>"Boa tarde boa tarde!! "&amp;IF(B2&gt;1,"Seus números da rifa são os ","Seu número da rifa é o ")&amp;D2&amp;" referente ao Carro e Jetski no primeiro lugar .O Zelle para pagamento é o 9143629635. Estou fazendo a última chamada para recolher o valor e aguardamos "&amp;"seu retorno até domingo, e caso nao consiga retornar, vamos disponibilizar os numeros na rifa. Obrigado 🙏 boa sorte 🍀 "&amp;"Caso tenha pago esses numeros, por gentileza enviar o comprovante para atualizar a lista."</f>
        <v>Boa tarde boa tarde!! Seus números da rifa são os 1, 268, 318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2" t="str">
        <f>SUBSTITUTE(
SUBSTITUTE(
SUBSTITUTE(
SUBSTITUTE(
SUBSTITUTE(
SUBSTITUTE(G2," ","%20"),
CHAR(10),"%0A"),
"""","%22"),
"&amp;","%26"),
":","%3A"),
"/","%2F")</f>
        <v>Boa%20tarde%20boa%20tarde!!%20Seus%20números%20da%20rifa%20são%20os%201,%20268,%20318%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2" t="str">
        <f>"https://web.whatsapp.com/send/?phone="&amp;IF(LEFT(A2,2)="55","","1")&amp;A2&amp;"&amp;text="&amp;H2</f>
        <v>https://web.whatsapp.com/send/?phone=5511976704883&amp;text=Boa%20tarde%20boa%20tarde!!%20Seus%20números%20da%20rifa%20são%20os%201,%20268,%20318%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3" spans="1:10" ht="14.4">
      <c r="A3" s="1">
        <v>5511976704883</v>
      </c>
      <c r="B3" s="1">
        <f>Original!J3</f>
        <v>1</v>
      </c>
      <c r="C3" s="1">
        <f>Original!K3</f>
        <v>1</v>
      </c>
      <c r="D3" s="1" t="str">
        <f>Original!L3</f>
        <v>2</v>
      </c>
      <c r="E3" s="1" t="str">
        <f>Original!M3</f>
        <v>ALBERT pg</v>
      </c>
      <c r="F3" t="s">
        <v>398</v>
      </c>
      <c r="G3" s="7" t="str">
        <f t="shared" ref="G3:G18" si="0">"Boa tarde boa tarde!! "&amp;IF(B3&gt;1,"Seus números da rifa são os ","Seu número da rifa é o ")&amp;D3&amp;" referente ao Carro e Jetski no primeiro lugar .O Zelle para pagamento é o 9143629635. Estou fazendo a última chamada para recolher o valor e aguardamos "&amp;"seu retorno até domingo, e caso nao consiga retornar, vamos disponibilizar os numeros na rifa. Obrigado 🙏 boa sorte 🍀 "&amp;"Caso tenha pago esses numeros, por gentileza enviar o comprovante para atualizar a lista."</f>
        <v>Boa tarde boa tarde!! Seu número da rifa é o 2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3" t="str">
        <f t="shared" ref="H3:H18" si="1">SUBSTITUTE(
SUBSTITUTE(
SUBSTITUTE(
SUBSTITUTE(
SUBSTITUTE(
SUBSTITUTE(G3," ","%20"),
CHAR(10),"%0A"),
"""","%22"),
"&amp;","%26"),
":","%3A"),
"/","%2F")</f>
        <v>Boa%20tarde%20boa%20tarde!!%20Seu%20número%20da%20rifa%20é%20o%202%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3" t="str">
        <f t="shared" ref="I3:I18" si="2">"https://web.whatsapp.com/send/?phone="&amp;IF(LEFT(A3,2)="55","","1")&amp;A3&amp;"&amp;text="&amp;H3</f>
        <v>https://web.whatsapp.com/send/?phone=5511976704883&amp;text=Boa%20tarde%20boa%20tarde!!%20Seu%20número%20da%20rifa%20é%20o%202%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4" spans="1:10">
      <c r="A4" s="1">
        <v>5511976704883</v>
      </c>
      <c r="B4" s="1">
        <f>Original!J4</f>
        <v>2</v>
      </c>
      <c r="C4" s="1">
        <f>Original!K4</f>
        <v>0</v>
      </c>
      <c r="D4" s="1" t="str">
        <f>Original!L4</f>
        <v>3, 9</v>
      </c>
      <c r="E4" s="1" t="str">
        <f>Original!M4</f>
        <v>KAKA ,KAKA</v>
      </c>
      <c r="F4" t="s">
        <v>346</v>
      </c>
      <c r="G4" s="7" t="str">
        <f t="shared" si="0"/>
        <v>Boa tarde boa tarde!! Seus números da rifa são os 3, 9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4" t="str">
        <f t="shared" si="1"/>
        <v>Boa%20tarde%20boa%20tarde!!%20Seus%20números%20da%20rifa%20são%20os%203,%209%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4" t="str">
        <f t="shared" si="2"/>
        <v>https://web.whatsapp.com/send/?phone=5511976704883&amp;text=Boa%20tarde%20boa%20tarde!!%20Seus%20números%20da%20rifa%20são%20os%203,%209%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5" spans="1:10">
      <c r="A5" s="1">
        <v>5511976704883</v>
      </c>
      <c r="B5" s="1">
        <f>Original!J5</f>
        <v>2</v>
      </c>
      <c r="C5" s="1">
        <f>Original!K5</f>
        <v>2</v>
      </c>
      <c r="D5" s="1" t="str">
        <f>Original!L5</f>
        <v>4, 25</v>
      </c>
      <c r="E5" s="1" t="str">
        <f>Original!M5</f>
        <v>TULIO pg ,TULIO pg</v>
      </c>
      <c r="F5" t="s">
        <v>398</v>
      </c>
      <c r="G5" s="7" t="str">
        <f t="shared" si="0"/>
        <v>Boa tarde boa tarde!! Seus números da rifa são os 4, 25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5" t="str">
        <f t="shared" si="1"/>
        <v>Boa%20tarde%20boa%20tarde!!%20Seus%20números%20da%20rifa%20são%20os%204,%2025%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5" t="str">
        <f t="shared" si="2"/>
        <v>https://web.whatsapp.com/send/?phone=5511976704883&amp;text=Boa%20tarde%20boa%20tarde!!%20Seus%20números%20da%20rifa%20são%20os%204,%2025%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6" spans="1:10">
      <c r="A6" s="1">
        <v>5511976704883</v>
      </c>
      <c r="B6" s="1">
        <f>Original!J6</f>
        <v>1</v>
      </c>
      <c r="C6" s="1">
        <f>Original!K6</f>
        <v>1</v>
      </c>
      <c r="D6" s="1" t="str">
        <f>Original!L6</f>
        <v>5</v>
      </c>
      <c r="E6" s="1" t="str">
        <f>Original!M6</f>
        <v>VAL pg</v>
      </c>
      <c r="F6" t="s">
        <v>398</v>
      </c>
      <c r="G6" s="7" t="str">
        <f t="shared" si="0"/>
        <v>Boa tarde boa tarde!! Seu número da rifa é o 5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6" t="str">
        <f t="shared" si="1"/>
        <v>Boa%20tarde%20boa%20tarde!!%20Seu%20número%20da%20rifa%20é%20o%205%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6" t="str">
        <f t="shared" si="2"/>
        <v>https://web.whatsapp.com/send/?phone=5511976704883&amp;text=Boa%20tarde%20boa%20tarde!!%20Seu%20número%20da%20rifa%20é%20o%205%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7" spans="1:10">
      <c r="A7" s="1">
        <v>5511976704883</v>
      </c>
      <c r="B7" s="1">
        <f>Original!J7</f>
        <v>2</v>
      </c>
      <c r="C7" s="1">
        <f>Original!K7</f>
        <v>0</v>
      </c>
      <c r="D7" s="1" t="str">
        <f>Original!L7</f>
        <v>6, 67</v>
      </c>
      <c r="E7" s="1" t="str">
        <f>Original!M7</f>
        <v>ROGERIO PLUMBER ,ROGERIO PLUMBER</v>
      </c>
      <c r="F7" t="s">
        <v>346</v>
      </c>
      <c r="G7" s="7" t="str">
        <f t="shared" si="0"/>
        <v>Boa tarde boa tarde!! Seus números da rifa são os 6, 67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7" t="str">
        <f t="shared" si="1"/>
        <v>Boa%20tarde%20boa%20tarde!!%20Seus%20números%20da%20rifa%20são%20os%206,%2067%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7" t="str">
        <f t="shared" si="2"/>
        <v>https://web.whatsapp.com/send/?phone=5511976704883&amp;text=Boa%20tarde%20boa%20tarde!!%20Seus%20números%20da%20rifa%20são%20os%206,%2067%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J7" t="s">
        <v>397</v>
      </c>
    </row>
    <row r="8" spans="1:10">
      <c r="A8" s="1">
        <v>5511976704883</v>
      </c>
      <c r="B8" s="1">
        <f>Original!J8</f>
        <v>1</v>
      </c>
      <c r="C8" s="1">
        <f>Original!K8</f>
        <v>1</v>
      </c>
      <c r="D8" s="1" t="str">
        <f>Original!L8</f>
        <v>7</v>
      </c>
      <c r="E8" s="1" t="str">
        <f>Original!M8</f>
        <v>ANDERSON JET pg</v>
      </c>
      <c r="F8" t="s">
        <v>398</v>
      </c>
      <c r="G8" s="7" t="str">
        <f t="shared" si="0"/>
        <v>Boa tarde boa tarde!! Seu número da rifa é o 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8" t="str">
        <f t="shared" si="1"/>
        <v>Boa%20tarde%20boa%20tarde!!%20Seu%20número%20da%20rifa%20é%20o%207%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8" t="str">
        <f t="shared" si="2"/>
        <v>https://web.whatsapp.com/send/?phone=5511976704883&amp;text=Boa%20tarde%20boa%20tarde!!%20Seu%20número%20da%20rifa%20é%20o%207%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9" spans="1:10">
      <c r="A9" s="1">
        <v>5511976704883</v>
      </c>
      <c r="B9" s="1">
        <f>Original!J9</f>
        <v>6</v>
      </c>
      <c r="C9" s="1">
        <f>Original!K9</f>
        <v>0</v>
      </c>
      <c r="D9" s="1" t="str">
        <f>Original!L9</f>
        <v>8, 10, 15, 51, 72, 74</v>
      </c>
      <c r="E9" s="1" t="str">
        <f>Original!M9</f>
        <v>FRANKLYN ,FRANKLY ,FRANKLY ,FRANKLY ,FRANKLYN ,FRANKLY</v>
      </c>
      <c r="F9" t="s">
        <v>346</v>
      </c>
      <c r="G9" s="7" t="str">
        <f t="shared" si="0"/>
        <v>Boa tarde boa tarde!! Seus números da rifa são os 8, 10, 15, 51, 72, 74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9" t="str">
        <f t="shared" si="1"/>
        <v>Boa%20tarde%20boa%20tarde!!%20Seus%20números%20da%20rifa%20são%20os%208,%2010,%2015,%2051,%2072,%2074%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9" t="str">
        <f t="shared" si="2"/>
        <v>https://web.whatsapp.com/send/?phone=5511976704883&amp;text=Boa%20tarde%20boa%20tarde!!%20Seus%20números%20da%20rifa%20são%20os%208,%2010,%2015,%2051,%2072,%2074%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0" spans="1:10">
      <c r="A10" s="1">
        <v>5511976704883</v>
      </c>
      <c r="B10" s="1">
        <f>Original!J10</f>
        <v>1</v>
      </c>
      <c r="C10" s="1">
        <f>Original!K10</f>
        <v>0</v>
      </c>
      <c r="D10" s="1" t="str">
        <f>Original!L10</f>
        <v>11</v>
      </c>
      <c r="E10" s="1" t="str">
        <f>Original!M10</f>
        <v>NETO</v>
      </c>
      <c r="F10" t="s">
        <v>346</v>
      </c>
      <c r="G10" s="7" t="str">
        <f t="shared" si="0"/>
        <v>Boa tarde boa tarde!! Seu número da rifa é o 11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0" t="str">
        <f t="shared" si="1"/>
        <v>Boa%20tarde%20boa%20tarde!!%20Seu%20número%20da%20rifa%20é%20o%2011%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0" t="str">
        <f t="shared" si="2"/>
        <v>https://web.whatsapp.com/send/?phone=5511976704883&amp;text=Boa%20tarde%20boa%20tarde!!%20Seu%20número%20da%20rifa%20é%20o%2011%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1" spans="1:10">
      <c r="A11" s="1">
        <v>5511976704883</v>
      </c>
      <c r="B11" s="1">
        <f>Original!J11</f>
        <v>2</v>
      </c>
      <c r="C11" s="1">
        <f>Original!K11</f>
        <v>0</v>
      </c>
      <c r="D11" s="1" t="str">
        <f>Original!L11</f>
        <v>12, 20</v>
      </c>
      <c r="E11" s="1" t="str">
        <f>Original!M11</f>
        <v>RICARDO SANTOS ,RICARDO SANTOS</v>
      </c>
      <c r="F11" t="s">
        <v>346</v>
      </c>
      <c r="G11" s="7" t="str">
        <f t="shared" si="0"/>
        <v>Boa tarde boa tarde!! Seus números da rifa são os 12, 20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1" t="str">
        <f t="shared" si="1"/>
        <v>Boa%20tarde%20boa%20tarde!!%20Seus%20números%20da%20rifa%20são%20os%2012,%2020%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1" t="str">
        <f t="shared" si="2"/>
        <v>https://web.whatsapp.com/send/?phone=5511976704883&amp;text=Boa%20tarde%20boa%20tarde!!%20Seus%20números%20da%20rifa%20são%20os%2012,%2020%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2" spans="1:10">
      <c r="A12" s="1">
        <v>5511976704883</v>
      </c>
      <c r="B12" s="1">
        <f>Original!J12</f>
        <v>1</v>
      </c>
      <c r="C12" s="1">
        <f>Original!K12</f>
        <v>0</v>
      </c>
      <c r="D12" s="1" t="str">
        <f>Original!L12</f>
        <v>13</v>
      </c>
      <c r="E12" s="1" t="str">
        <f>Original!M12</f>
        <v>SEANIE/JULIA</v>
      </c>
      <c r="F12" t="s">
        <v>346</v>
      </c>
      <c r="G12" s="7" t="str">
        <f t="shared" si="0"/>
        <v>Boa tarde boa tarde!! Seu número da rifa é o 13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2" t="str">
        <f t="shared" si="1"/>
        <v>Boa%20tarde%20boa%20tarde!!%20Seu%20número%20da%20rifa%20é%20o%2013%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2" t="str">
        <f t="shared" si="2"/>
        <v>https://web.whatsapp.com/send/?phone=5511976704883&amp;text=Boa%20tarde%20boa%20tarde!!%20Seu%20número%20da%20rifa%20é%20o%2013%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3" spans="1:10">
      <c r="A13" s="1">
        <v>5511976704883</v>
      </c>
      <c r="B13" s="1">
        <f>Original!J13</f>
        <v>2</v>
      </c>
      <c r="C13" s="1">
        <f>Original!K13</f>
        <v>0</v>
      </c>
      <c r="D13" s="1" t="str">
        <f>Original!L13</f>
        <v>14, 17</v>
      </c>
      <c r="E13" s="1" t="str">
        <f>Original!M13</f>
        <v>GI ,GI</v>
      </c>
      <c r="F13" t="s">
        <v>346</v>
      </c>
      <c r="G13" s="7" t="str">
        <f t="shared" si="0"/>
        <v>Boa tarde boa tarde!! Seus números da rifa são os 14, 17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3" t="str">
        <f t="shared" si="1"/>
        <v>Boa%20tarde%20boa%20tarde!!%20Seus%20números%20da%20rifa%20são%20os%2014,%2017%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3" t="str">
        <f t="shared" si="2"/>
        <v>https://web.whatsapp.com/send/?phone=5511976704883&amp;text=Boa%20tarde%20boa%20tarde!!%20Seus%20números%20da%20rifa%20são%20os%2014,%2017%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4" spans="1:10">
      <c r="A14" s="1">
        <v>5511976704883</v>
      </c>
      <c r="B14" s="1">
        <f>Original!J14</f>
        <v>3</v>
      </c>
      <c r="C14" s="1">
        <f>Original!K14</f>
        <v>0</v>
      </c>
      <c r="D14" s="1" t="str">
        <f>Original!L14</f>
        <v>18, 23, 198</v>
      </c>
      <c r="E14" s="1" t="str">
        <f>Original!M14</f>
        <v>SERGIO ,SERGIO ,GIL ARAUJO</v>
      </c>
      <c r="F14" t="s">
        <v>346</v>
      </c>
      <c r="G14" s="7" t="str">
        <f t="shared" si="0"/>
        <v>Boa tarde boa tarde!! Seus números da rifa são os 18, 23, 198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4" t="str">
        <f t="shared" si="1"/>
        <v>Boa%20tarde%20boa%20tarde!!%20Seus%20números%20da%20rifa%20são%20os%2018,%2023,%20198%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4" t="str">
        <f t="shared" si="2"/>
        <v>https://web.whatsapp.com/send/?phone=5511976704883&amp;text=Boa%20tarde%20boa%20tarde!!%20Seus%20números%20da%20rifa%20são%20os%2018,%2023,%20198%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5" spans="1:10">
      <c r="A15" s="1">
        <v>5511976704883</v>
      </c>
      <c r="B15" s="1">
        <f>Original!J15</f>
        <v>2</v>
      </c>
      <c r="C15" s="1">
        <f>Original!K15</f>
        <v>2</v>
      </c>
      <c r="D15" s="1" t="str">
        <f>Original!L15</f>
        <v>19, 27</v>
      </c>
      <c r="E15" s="1" t="str">
        <f>Original!M15</f>
        <v>GILSON pg ,GILSON pg</v>
      </c>
      <c r="F15" t="s">
        <v>398</v>
      </c>
      <c r="G15" s="7" t="str">
        <f t="shared" si="0"/>
        <v>Boa tarde boa tarde!! Seus números da rifa são os 19, 27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5" t="str">
        <f t="shared" si="1"/>
        <v>Boa%20tarde%20boa%20tarde!!%20Seus%20números%20da%20rifa%20são%20os%2019,%2027%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5" t="str">
        <f t="shared" si="2"/>
        <v>https://web.whatsapp.com/send/?phone=5511976704883&amp;text=Boa%20tarde%20boa%20tarde!!%20Seus%20números%20da%20rifa%20são%20os%2019,%2027%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6" spans="1:10">
      <c r="A16" s="1">
        <v>5511976704883</v>
      </c>
      <c r="B16" s="1">
        <f>Original!J16</f>
        <v>5</v>
      </c>
      <c r="C16" s="1">
        <f>Original!K16</f>
        <v>4</v>
      </c>
      <c r="D16" s="1" t="str">
        <f>Original!L16</f>
        <v>21, 29, 62, 191, 500</v>
      </c>
      <c r="E16" s="1" t="str">
        <f>Original!M16</f>
        <v>SOLON pg ,SOLON pg ,EDINEI ALVES amigo solon ,SOLON pg ,SOLON pg</v>
      </c>
      <c r="F16" t="s">
        <v>346</v>
      </c>
      <c r="G16" s="7" t="str">
        <f t="shared" si="0"/>
        <v>Boa tarde boa tarde!! Seus números da rifa são os 21, 29, 62, 191, 500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6" t="str">
        <f t="shared" si="1"/>
        <v>Boa%20tarde%20boa%20tarde!!%20Seus%20números%20da%20rifa%20são%20os%2021,%2029,%2062,%20191,%20500%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6" t="str">
        <f t="shared" si="2"/>
        <v>https://web.whatsapp.com/send/?phone=5511976704883&amp;text=Boa%20tarde%20boa%20tarde!!%20Seus%20números%20da%20rifa%20são%20os%2021,%2029,%2062,%20191,%20500%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7" spans="1:9">
      <c r="A17" s="1">
        <v>5511976704883</v>
      </c>
      <c r="B17" s="1">
        <f>Original!J17</f>
        <v>2</v>
      </c>
      <c r="C17" s="1">
        <f>Original!K17</f>
        <v>2</v>
      </c>
      <c r="D17" s="1" t="str">
        <f>Original!L17</f>
        <v>22, 60</v>
      </c>
      <c r="E17" s="1" t="str">
        <f>Original!M17</f>
        <v>BOY pg ,BOY pg</v>
      </c>
      <c r="F17" t="s">
        <v>398</v>
      </c>
      <c r="G17" s="7" t="str">
        <f t="shared" si="0"/>
        <v>Boa tarde boa tarde!! Seus números da rifa são os 22, 60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7" t="str">
        <f t="shared" si="1"/>
        <v>Boa%20tarde%20boa%20tarde!!%20Seus%20números%20da%20rifa%20são%20os%2022,%2060%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7" t="str">
        <f t="shared" si="2"/>
        <v>https://web.whatsapp.com/send/?phone=5511976704883&amp;text=Boa%20tarde%20boa%20tarde!!%20Seus%20números%20da%20rifa%20são%20os%2022,%2060%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  <row r="18" spans="1:9">
      <c r="A18" s="1">
        <v>5511976704883</v>
      </c>
      <c r="B18" s="1">
        <f>Original!J18</f>
        <v>0</v>
      </c>
      <c r="C18" s="1">
        <f>Original!K18</f>
        <v>0</v>
      </c>
      <c r="D18" s="1" t="str">
        <f>Original!L18</f>
        <v/>
      </c>
      <c r="E18" s="1" t="str">
        <f>Original!M18</f>
        <v/>
      </c>
      <c r="F18" t="s">
        <v>346</v>
      </c>
      <c r="G18" s="7" t="str">
        <f t="shared" si="0"/>
        <v>Boa tarde boa tarde!! Seu número da rifa é o  referente ao Carro e Jetski no primeiro lugar .O Zelle para pagamento é o 9143629635. Estou fazendo a última chamada para recolher o valor e aguardamos seu retorno até domingo, e caso nao consiga retornar, vamos disponibilizar os numeros na rifa. Obrigado 🙏 boa sorte 🍀 Caso tenha pago esses numeros, por gentileza enviar o comprovante para atualizar a lista.</v>
      </c>
      <c r="H18" t="str">
        <f t="shared" si="1"/>
        <v>Boa%20tarde%20boa%20tarde!!%20Seu%20número%20da%20rifa%20é%20o%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  <c r="I18" t="str">
        <f t="shared" si="2"/>
        <v>https://web.whatsapp.com/send/?phone=5511976704883&amp;text=Boa%20tarde%20boa%20tarde!!%20Seu%20número%20da%20rifa%20é%20o%20%20referente%20ao%20Carro%20e%20Jetski%20no%20primeiro%20lugar%20.O%20Zelle%20para%20pagamento%20é%20o%209143629635.%20Estou%20fazendo%20a%20última%20chamada%20para%20recolher%20o%20valor%20e%20aguardamos%20seu%20retorno%20até%20domingo,%20e%20caso%20nao%20consiga%20retornar,%20vamos%20disponibilizar%20os%20numeros%20na%20rifa.%20Obrigado%20🙏%20boa%20sorte%20🍀%20Caso%20tenha%20pago%20esses%20numeros,%20por%20gentileza%20enviar%20o%20comprovante%20para%20atualizar%20a%20lista.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W551"/>
  <sheetViews>
    <sheetView topLeftCell="F1" zoomScale="110" zoomScaleNormal="110" workbookViewId="0">
      <selection activeCell="I14" sqref="I14"/>
    </sheetView>
  </sheetViews>
  <sheetFormatPr defaultRowHeight="13.8"/>
  <cols>
    <col min="1" max="1" width="12.296875" bestFit="1" customWidth="1"/>
    <col min="2" max="2" width="29.69921875" bestFit="1" customWidth="1"/>
    <col min="3" max="3" width="14.19921875" style="1" bestFit="1" customWidth="1"/>
    <col min="5" max="6" width="8.8984375" customWidth="1"/>
    <col min="7" max="7" width="11" bestFit="1" customWidth="1"/>
    <col min="8" max="8" width="11" customWidth="1"/>
    <col min="9" max="9" width="14.19921875" style="1" bestFit="1" customWidth="1"/>
    <col min="10" max="10" width="18.09765625" bestFit="1" customWidth="1"/>
    <col min="11" max="11" width="15.8984375" customWidth="1"/>
    <col min="12" max="12" width="28" bestFit="1" customWidth="1"/>
    <col min="13" max="13" width="34.59765625" customWidth="1"/>
    <col min="16" max="33" width="0" hidden="1" customWidth="1"/>
  </cols>
  <sheetData>
    <row r="1" spans="1:49" ht="14.4">
      <c r="A1" s="9" t="s">
        <v>0</v>
      </c>
      <c r="B1" s="9" t="s">
        <v>1</v>
      </c>
      <c r="C1" s="10" t="s">
        <v>2</v>
      </c>
      <c r="D1" s="9"/>
      <c r="E1" s="9"/>
      <c r="F1" s="9"/>
      <c r="G1" s="9"/>
      <c r="H1" s="9"/>
      <c r="I1" s="2" t="s">
        <v>2</v>
      </c>
      <c r="J1" s="3" t="s">
        <v>294</v>
      </c>
      <c r="K1" s="3" t="s">
        <v>297</v>
      </c>
      <c r="L1" s="3" t="s">
        <v>295</v>
      </c>
      <c r="M1" s="3" t="s">
        <v>296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V1" t="s">
        <v>0</v>
      </c>
      <c r="AW1" t="s">
        <v>1</v>
      </c>
    </row>
    <row r="2" spans="1:49" ht="14.4">
      <c r="A2" s="9">
        <v>1</v>
      </c>
      <c r="B2" s="9" t="s">
        <v>4</v>
      </c>
      <c r="C2" s="10">
        <v>2038209096</v>
      </c>
      <c r="D2" s="9" t="s">
        <v>280</v>
      </c>
      <c r="E2" s="9">
        <f>COUNTIF($C$1:C2,C2)</f>
        <v>1</v>
      </c>
      <c r="F2" s="9" t="str">
        <f>C2&amp;E2</f>
        <v>20382090961</v>
      </c>
      <c r="G2" s="9">
        <f>IF(IFERROR(FIND("pg",LOWER(B2)),0)=0,0,1)</f>
        <v>0</v>
      </c>
      <c r="H2" s="9">
        <f>IF(IFERROR(FIND("free",LOWER(B2)),0)=0,0,1)</f>
        <v>0</v>
      </c>
      <c r="I2" s="2">
        <v>2038209096</v>
      </c>
      <c r="J2" s="3">
        <f>COUNTIF(C:C,I2)</f>
        <v>3</v>
      </c>
      <c r="K2" s="2">
        <f t="shared" ref="K2:K4" si="0">COUNTIFS(C:C,I2,G:G,1)+COUNTIFS(C:C,I2,H:H,1)</f>
        <v>0</v>
      </c>
      <c r="L2" s="3" t="e">
        <f ca="1">_xlfn.CONCAT(P2:V2)</f>
        <v>#NAME?</v>
      </c>
      <c r="M2" s="3" t="e">
        <f ca="1">_xlfn.CONCAT(Z2:AF2)</f>
        <v>#NAME?</v>
      </c>
      <c r="N2">
        <f>J2-K2</f>
        <v>3</v>
      </c>
      <c r="P2">
        <f>IFERROR(INDEX($A$2:$A$501,MATCH($I2&amp;P$1,$F$2:$F$501,0)),"")</f>
        <v>1</v>
      </c>
      <c r="Q2" t="str">
        <f t="shared" ref="Q2:V11" si="1">IFERROR(" ,"&amp;INDEX($A$2:$A$501,MATCH($I2&amp;Q$1,$F$2:$F$501,0)),"")</f>
        <v xml:space="preserve"> ,268</v>
      </c>
      <c r="R2" t="str">
        <f t="shared" si="1"/>
        <v xml:space="preserve"> ,318</v>
      </c>
      <c r="S2" t="str">
        <f t="shared" si="1"/>
        <v/>
      </c>
      <c r="T2" t="str">
        <f t="shared" si="1"/>
        <v/>
      </c>
      <c r="U2" t="str">
        <f t="shared" si="1"/>
        <v/>
      </c>
      <c r="V2" t="str">
        <f t="shared" si="1"/>
        <v/>
      </c>
      <c r="Z2" t="str">
        <f>IFERROR(INDEX($B$2:$B$501,MATCH($I2&amp;Z$1,$F$2:$F$501,0)),"")</f>
        <v>FERNANDO CUMPA</v>
      </c>
      <c r="AA2" t="str">
        <f t="shared" ref="AA2:AF11" si="2">IFERROR(" ,"&amp;INDEX($B$2:$B$501,MATCH($I2&amp;AA$1,$F$2:$F$501,0)),"")</f>
        <v xml:space="preserve"> ,VALENTINA</v>
      </c>
      <c r="AB2" t="str">
        <f t="shared" si="2"/>
        <v xml:space="preserve"> ,KEVIN CUMPA</v>
      </c>
      <c r="AC2" t="str">
        <f t="shared" si="2"/>
        <v/>
      </c>
      <c r="AD2" t="str">
        <f t="shared" si="2"/>
        <v/>
      </c>
      <c r="AE2" t="str">
        <f t="shared" si="2"/>
        <v/>
      </c>
      <c r="AF2" t="str">
        <f t="shared" si="2"/>
        <v/>
      </c>
      <c r="AV2">
        <v>1</v>
      </c>
      <c r="AW2" t="s">
        <v>4</v>
      </c>
    </row>
    <row r="3" spans="1:49" ht="14.4">
      <c r="A3" s="9">
        <v>2</v>
      </c>
      <c r="B3" s="9" t="s">
        <v>5</v>
      </c>
      <c r="C3" s="10">
        <v>6178402356</v>
      </c>
      <c r="D3" s="9" t="s">
        <v>280</v>
      </c>
      <c r="E3" s="9">
        <f>COUNTIF($C$1:C3,C3)</f>
        <v>1</v>
      </c>
      <c r="F3" s="9" t="str">
        <f t="shared" ref="F3:F66" si="3">C3&amp;E3</f>
        <v>61784023561</v>
      </c>
      <c r="G3" s="9">
        <f>IF(IFERROR(FIND("pg",LOWER(B3)),0)=0,0,1)</f>
        <v>0</v>
      </c>
      <c r="H3" s="9">
        <f t="shared" ref="H3:H66" si="4">IF(IFERROR(FIND("free",LOWER(B3)),0)=0,0,1)</f>
        <v>0</v>
      </c>
      <c r="I3" s="4">
        <v>6178402356</v>
      </c>
      <c r="J3" s="5">
        <f t="shared" ref="J3:J66" si="5">COUNTIF(C:C,I3)</f>
        <v>2</v>
      </c>
      <c r="K3" s="5">
        <f t="shared" si="0"/>
        <v>0</v>
      </c>
      <c r="L3" s="5" t="e">
        <f t="shared" ref="L3:L66" ca="1" si="6">_xlfn.CONCAT(P3:V3)</f>
        <v>#NAME?</v>
      </c>
      <c r="M3" s="5" t="e">
        <f t="shared" ref="M3:M66" ca="1" si="7">_xlfn.CONCAT(Z3:AF3)</f>
        <v>#NAME?</v>
      </c>
      <c r="N3">
        <f t="shared" ref="N3:N66" si="8">J3-K3</f>
        <v>2</v>
      </c>
      <c r="P3">
        <f t="shared" ref="P3:P66" si="9">IFERROR(INDEX($A$2:$A$501,MATCH($I3&amp;P$1,$F$2:$F$501,0)),"")</f>
        <v>2</v>
      </c>
      <c r="Q3" t="str">
        <f t="shared" si="1"/>
        <v xml:space="preserve"> ,93</v>
      </c>
      <c r="R3" t="str">
        <f t="shared" si="1"/>
        <v/>
      </c>
      <c r="S3" t="str">
        <f t="shared" si="1"/>
        <v/>
      </c>
      <c r="T3" t="str">
        <f t="shared" si="1"/>
        <v/>
      </c>
      <c r="U3" t="str">
        <f t="shared" si="1"/>
        <v/>
      </c>
      <c r="V3" t="str">
        <f t="shared" si="1"/>
        <v/>
      </c>
      <c r="Z3" t="str">
        <f t="shared" ref="Z3:Z66" si="10">IFERROR(INDEX($B$2:$B$501,MATCH($I3&amp;Z$1,$F$2:$F$501,0)),"")</f>
        <v>ALBERT</v>
      </c>
      <c r="AA3" t="str">
        <f t="shared" si="2"/>
        <v xml:space="preserve"> ,Albert</v>
      </c>
      <c r="AB3" t="str">
        <f t="shared" si="2"/>
        <v/>
      </c>
      <c r="AC3" t="str">
        <f t="shared" si="2"/>
        <v/>
      </c>
      <c r="AD3" t="str">
        <f t="shared" si="2"/>
        <v/>
      </c>
      <c r="AE3" t="str">
        <f t="shared" si="2"/>
        <v/>
      </c>
      <c r="AF3" t="str">
        <f t="shared" si="2"/>
        <v/>
      </c>
      <c r="AV3">
        <v>2</v>
      </c>
      <c r="AW3" t="s">
        <v>5</v>
      </c>
    </row>
    <row r="4" spans="1:49" ht="14.4">
      <c r="A4" s="9">
        <v>3</v>
      </c>
      <c r="B4" s="9" t="s">
        <v>6</v>
      </c>
      <c r="C4" s="10">
        <v>2035452391</v>
      </c>
      <c r="D4" s="9" t="s">
        <v>280</v>
      </c>
      <c r="E4" s="9">
        <f>COUNTIF($C$1:C4,C4)</f>
        <v>1</v>
      </c>
      <c r="F4" s="9" t="str">
        <f t="shared" si="3"/>
        <v>20354523911</v>
      </c>
      <c r="G4" s="9">
        <f t="shared" ref="G4:G67" si="11">IF(IFERROR(FIND("pg",LOWER(B4)),0)=0,0,1)</f>
        <v>0</v>
      </c>
      <c r="H4" s="9">
        <f t="shared" si="4"/>
        <v>0</v>
      </c>
      <c r="I4" s="2">
        <v>2035452391</v>
      </c>
      <c r="J4" s="3">
        <f t="shared" si="5"/>
        <v>2</v>
      </c>
      <c r="K4" s="3">
        <f t="shared" si="0"/>
        <v>0</v>
      </c>
      <c r="L4" s="3" t="e">
        <f t="shared" ca="1" si="6"/>
        <v>#NAME?</v>
      </c>
      <c r="M4" s="3" t="e">
        <f t="shared" ca="1" si="7"/>
        <v>#NAME?</v>
      </c>
      <c r="N4">
        <f t="shared" si="8"/>
        <v>2</v>
      </c>
      <c r="P4">
        <f t="shared" si="9"/>
        <v>3</v>
      </c>
      <c r="Q4" t="str">
        <f t="shared" si="1"/>
        <v xml:space="preserve"> ,9</v>
      </c>
      <c r="R4" t="str">
        <f t="shared" si="1"/>
        <v/>
      </c>
      <c r="S4" t="str">
        <f t="shared" si="1"/>
        <v/>
      </c>
      <c r="T4" t="str">
        <f t="shared" si="1"/>
        <v/>
      </c>
      <c r="U4" t="str">
        <f t="shared" si="1"/>
        <v/>
      </c>
      <c r="V4" t="str">
        <f t="shared" si="1"/>
        <v/>
      </c>
      <c r="Z4" t="str">
        <f t="shared" si="10"/>
        <v>KAKA</v>
      </c>
      <c r="AA4" t="str">
        <f t="shared" si="2"/>
        <v xml:space="preserve"> ,KAKA</v>
      </c>
      <c r="AB4" t="str">
        <f t="shared" si="2"/>
        <v/>
      </c>
      <c r="AC4" t="str">
        <f t="shared" si="2"/>
        <v/>
      </c>
      <c r="AD4" t="str">
        <f t="shared" si="2"/>
        <v/>
      </c>
      <c r="AE4" t="str">
        <f t="shared" si="2"/>
        <v/>
      </c>
      <c r="AF4" t="str">
        <f t="shared" si="2"/>
        <v/>
      </c>
      <c r="AV4">
        <v>3</v>
      </c>
      <c r="AW4" t="s">
        <v>6</v>
      </c>
    </row>
    <row r="5" spans="1:49" ht="14.4" hidden="1">
      <c r="A5" s="9">
        <v>4</v>
      </c>
      <c r="B5" s="9" t="s">
        <v>324</v>
      </c>
      <c r="C5" s="10">
        <v>9144337335</v>
      </c>
      <c r="D5" s="9" t="s">
        <v>280</v>
      </c>
      <c r="E5" s="9">
        <f>COUNTIF($C$1:C5,C5)</f>
        <v>1</v>
      </c>
      <c r="F5" s="9" t="str">
        <f t="shared" si="3"/>
        <v>91443373351</v>
      </c>
      <c r="G5" s="9">
        <f t="shared" si="11"/>
        <v>1</v>
      </c>
      <c r="H5" s="9">
        <f t="shared" si="4"/>
        <v>0</v>
      </c>
      <c r="I5" s="4">
        <v>9144337335</v>
      </c>
      <c r="J5" s="5">
        <f t="shared" si="5"/>
        <v>2</v>
      </c>
      <c r="K5" s="4">
        <f>COUNTIFS(C:C,I5,G:G,1)+COUNTIFS(C:C,I5,H:H,1)</f>
        <v>2</v>
      </c>
      <c r="L5" s="5" t="e">
        <f t="shared" ca="1" si="6"/>
        <v>#NAME?</v>
      </c>
      <c r="M5" s="5" t="e">
        <f t="shared" ca="1" si="7"/>
        <v>#NAME?</v>
      </c>
      <c r="N5">
        <f t="shared" si="8"/>
        <v>0</v>
      </c>
      <c r="P5">
        <f t="shared" si="9"/>
        <v>4</v>
      </c>
      <c r="Q5" t="str">
        <f t="shared" si="1"/>
        <v xml:space="preserve"> ,25</v>
      </c>
      <c r="R5" t="str">
        <f t="shared" si="1"/>
        <v/>
      </c>
      <c r="S5" t="str">
        <f t="shared" si="1"/>
        <v/>
      </c>
      <c r="T5" t="str">
        <f t="shared" si="1"/>
        <v/>
      </c>
      <c r="U5" t="str">
        <f t="shared" si="1"/>
        <v/>
      </c>
      <c r="V5" t="str">
        <f t="shared" si="1"/>
        <v/>
      </c>
      <c r="Z5" t="str">
        <f t="shared" si="10"/>
        <v>TULIO pg</v>
      </c>
      <c r="AA5" t="str">
        <f t="shared" si="2"/>
        <v xml:space="preserve"> ,TULIO pg</v>
      </c>
      <c r="AB5" t="str">
        <f t="shared" si="2"/>
        <v/>
      </c>
      <c r="AC5" t="str">
        <f t="shared" si="2"/>
        <v/>
      </c>
      <c r="AD5" t="str">
        <f t="shared" si="2"/>
        <v/>
      </c>
      <c r="AE5" t="str">
        <f t="shared" si="2"/>
        <v/>
      </c>
      <c r="AF5" t="str">
        <f t="shared" si="2"/>
        <v/>
      </c>
      <c r="AV5">
        <v>4</v>
      </c>
      <c r="AW5" t="s">
        <v>7</v>
      </c>
    </row>
    <row r="6" spans="1:49" ht="14.4" hidden="1">
      <c r="A6" s="9">
        <v>5</v>
      </c>
      <c r="B6" s="9" t="s">
        <v>320</v>
      </c>
      <c r="C6" s="10">
        <v>9148828385</v>
      </c>
      <c r="D6" s="9" t="s">
        <v>280</v>
      </c>
      <c r="E6" s="9">
        <f>COUNTIF($C$1:C6,C6)</f>
        <v>1</v>
      </c>
      <c r="F6" s="9" t="str">
        <f t="shared" si="3"/>
        <v>91488283851</v>
      </c>
      <c r="G6" s="9">
        <f t="shared" si="11"/>
        <v>1</v>
      </c>
      <c r="H6" s="9">
        <f t="shared" si="4"/>
        <v>0</v>
      </c>
      <c r="I6" s="2">
        <v>9148828385</v>
      </c>
      <c r="J6" s="3">
        <f t="shared" si="5"/>
        <v>1</v>
      </c>
      <c r="K6" s="3">
        <f t="shared" ref="K6:K69" si="12">COUNTIFS(C:C,I6,G:G,1)+COUNTIFS(C:C,I6,H:H,1)</f>
        <v>1</v>
      </c>
      <c r="L6" s="3" t="e">
        <f t="shared" ca="1" si="6"/>
        <v>#NAME?</v>
      </c>
      <c r="M6" s="3" t="e">
        <f t="shared" ca="1" si="7"/>
        <v>#NAME?</v>
      </c>
      <c r="N6">
        <f t="shared" si="8"/>
        <v>0</v>
      </c>
      <c r="P6">
        <f t="shared" si="9"/>
        <v>5</v>
      </c>
      <c r="Q6" t="str">
        <f t="shared" si="1"/>
        <v/>
      </c>
      <c r="R6" t="str">
        <f t="shared" si="1"/>
        <v/>
      </c>
      <c r="S6" t="str">
        <f t="shared" si="1"/>
        <v/>
      </c>
      <c r="T6" t="str">
        <f t="shared" si="1"/>
        <v/>
      </c>
      <c r="U6" t="str">
        <f t="shared" si="1"/>
        <v/>
      </c>
      <c r="V6" t="str">
        <f t="shared" si="1"/>
        <v/>
      </c>
      <c r="Z6" t="str">
        <f t="shared" si="10"/>
        <v>VAL pg</v>
      </c>
      <c r="AA6" t="str">
        <f t="shared" si="2"/>
        <v/>
      </c>
      <c r="AB6" t="str">
        <f t="shared" si="2"/>
        <v/>
      </c>
      <c r="AC6" t="str">
        <f t="shared" si="2"/>
        <v/>
      </c>
      <c r="AD6" t="str">
        <f t="shared" si="2"/>
        <v/>
      </c>
      <c r="AE6" t="str">
        <f t="shared" si="2"/>
        <v/>
      </c>
      <c r="AF6" t="str">
        <f t="shared" si="2"/>
        <v/>
      </c>
      <c r="AV6">
        <v>5</v>
      </c>
      <c r="AW6" t="s">
        <v>8</v>
      </c>
    </row>
    <row r="7" spans="1:49" ht="14.4">
      <c r="A7" s="9">
        <v>6</v>
      </c>
      <c r="B7" s="9" t="s">
        <v>9</v>
      </c>
      <c r="C7" s="10">
        <v>9148376239</v>
      </c>
      <c r="D7" s="9" t="s">
        <v>280</v>
      </c>
      <c r="E7" s="9">
        <f>COUNTIF($C$1:C7,C7)</f>
        <v>1</v>
      </c>
      <c r="F7" s="9" t="str">
        <f t="shared" si="3"/>
        <v>91483762391</v>
      </c>
      <c r="G7" s="9">
        <f t="shared" si="11"/>
        <v>0</v>
      </c>
      <c r="H7" s="9">
        <f t="shared" si="4"/>
        <v>0</v>
      </c>
      <c r="I7" s="4">
        <v>9148376239</v>
      </c>
      <c r="J7" s="5">
        <f t="shared" si="5"/>
        <v>2</v>
      </c>
      <c r="K7" s="5">
        <f t="shared" si="12"/>
        <v>0</v>
      </c>
      <c r="L7" s="5" t="e">
        <f t="shared" ca="1" si="6"/>
        <v>#NAME?</v>
      </c>
      <c r="M7" s="5" t="e">
        <f t="shared" ca="1" si="7"/>
        <v>#NAME?</v>
      </c>
      <c r="N7">
        <f t="shared" si="8"/>
        <v>2</v>
      </c>
      <c r="P7">
        <f t="shared" si="9"/>
        <v>6</v>
      </c>
      <c r="Q7" t="str">
        <f t="shared" si="1"/>
        <v xml:space="preserve"> ,67</v>
      </c>
      <c r="R7" t="str">
        <f t="shared" si="1"/>
        <v/>
      </c>
      <c r="S7" t="str">
        <f t="shared" si="1"/>
        <v/>
      </c>
      <c r="T7" t="str">
        <f t="shared" si="1"/>
        <v/>
      </c>
      <c r="U7" t="str">
        <f t="shared" si="1"/>
        <v/>
      </c>
      <c r="V7" t="str">
        <f t="shared" si="1"/>
        <v/>
      </c>
      <c r="Z7" t="str">
        <f t="shared" si="10"/>
        <v>ROGERIO PLUMBER</v>
      </c>
      <c r="AA7" t="str">
        <f t="shared" si="2"/>
        <v xml:space="preserve"> ,ROGERIO PLUMBER</v>
      </c>
      <c r="AB7" t="str">
        <f t="shared" si="2"/>
        <v/>
      </c>
      <c r="AC7" t="str">
        <f t="shared" si="2"/>
        <v/>
      </c>
      <c r="AD7" t="str">
        <f t="shared" si="2"/>
        <v/>
      </c>
      <c r="AE7" t="str">
        <f t="shared" si="2"/>
        <v/>
      </c>
      <c r="AF7" t="str">
        <f t="shared" si="2"/>
        <v/>
      </c>
      <c r="AV7">
        <v>6</v>
      </c>
      <c r="AW7" t="s">
        <v>9</v>
      </c>
    </row>
    <row r="8" spans="1:49" ht="14.4" hidden="1">
      <c r="A8" s="9">
        <v>7</v>
      </c>
      <c r="B8" s="9" t="s">
        <v>321</v>
      </c>
      <c r="C8" s="10">
        <v>9142276261</v>
      </c>
      <c r="D8" s="9" t="s">
        <v>280</v>
      </c>
      <c r="E8" s="9">
        <f>COUNTIF($C$1:C8,C8)</f>
        <v>1</v>
      </c>
      <c r="F8" s="9" t="str">
        <f t="shared" si="3"/>
        <v>91422762611</v>
      </c>
      <c r="G8" s="9">
        <f t="shared" si="11"/>
        <v>1</v>
      </c>
      <c r="H8" s="9">
        <f t="shared" si="4"/>
        <v>0</v>
      </c>
      <c r="I8" s="2">
        <v>9142276261</v>
      </c>
      <c r="J8" s="3">
        <f t="shared" si="5"/>
        <v>1</v>
      </c>
      <c r="K8" s="3">
        <f t="shared" si="12"/>
        <v>1</v>
      </c>
      <c r="L8" s="3" t="e">
        <f t="shared" ca="1" si="6"/>
        <v>#NAME?</v>
      </c>
      <c r="M8" s="3" t="e">
        <f t="shared" ca="1" si="7"/>
        <v>#NAME?</v>
      </c>
      <c r="N8">
        <f t="shared" si="8"/>
        <v>0</v>
      </c>
      <c r="P8">
        <f t="shared" si="9"/>
        <v>7</v>
      </c>
      <c r="Q8" t="str">
        <f t="shared" si="1"/>
        <v/>
      </c>
      <c r="R8" t="str">
        <f t="shared" si="1"/>
        <v/>
      </c>
      <c r="S8" t="str">
        <f t="shared" si="1"/>
        <v/>
      </c>
      <c r="T8" t="str">
        <f t="shared" si="1"/>
        <v/>
      </c>
      <c r="U8" t="str">
        <f t="shared" si="1"/>
        <v/>
      </c>
      <c r="V8" t="str">
        <f t="shared" si="1"/>
        <v/>
      </c>
      <c r="Z8" t="str">
        <f t="shared" si="10"/>
        <v>ANDERSON JET pg</v>
      </c>
      <c r="AA8" t="str">
        <f t="shared" si="2"/>
        <v/>
      </c>
      <c r="AB8" t="str">
        <f t="shared" si="2"/>
        <v/>
      </c>
      <c r="AC8" t="str">
        <f t="shared" si="2"/>
        <v/>
      </c>
      <c r="AD8" t="str">
        <f t="shared" si="2"/>
        <v/>
      </c>
      <c r="AE8" t="str">
        <f t="shared" si="2"/>
        <v/>
      </c>
      <c r="AF8" t="str">
        <f t="shared" si="2"/>
        <v/>
      </c>
      <c r="AV8">
        <v>7</v>
      </c>
      <c r="AW8" t="s">
        <v>10</v>
      </c>
    </row>
    <row r="9" spans="1:49" ht="14.4">
      <c r="A9" s="9">
        <v>8</v>
      </c>
      <c r="B9" s="9" t="s">
        <v>11</v>
      </c>
      <c r="C9" s="10">
        <v>2039817839</v>
      </c>
      <c r="D9" s="9" t="s">
        <v>280</v>
      </c>
      <c r="E9" s="9">
        <f>COUNTIF($C$1:C9,C9)</f>
        <v>1</v>
      </c>
      <c r="F9" s="9" t="str">
        <f t="shared" si="3"/>
        <v>20398178391</v>
      </c>
      <c r="G9" s="9">
        <f t="shared" si="11"/>
        <v>0</v>
      </c>
      <c r="H9" s="9">
        <f t="shared" si="4"/>
        <v>0</v>
      </c>
      <c r="I9" s="4">
        <v>2039817839</v>
      </c>
      <c r="J9" s="5">
        <f t="shared" si="5"/>
        <v>6</v>
      </c>
      <c r="K9" s="5">
        <f t="shared" si="12"/>
        <v>0</v>
      </c>
      <c r="L9" s="5" t="e">
        <f t="shared" ca="1" si="6"/>
        <v>#NAME?</v>
      </c>
      <c r="M9" s="5" t="e">
        <f t="shared" ca="1" si="7"/>
        <v>#NAME?</v>
      </c>
      <c r="N9">
        <f t="shared" si="8"/>
        <v>6</v>
      </c>
      <c r="P9">
        <f t="shared" si="9"/>
        <v>8</v>
      </c>
      <c r="Q9" t="str">
        <f t="shared" si="1"/>
        <v xml:space="preserve"> ,10</v>
      </c>
      <c r="R9" t="str">
        <f t="shared" si="1"/>
        <v xml:space="preserve"> ,15</v>
      </c>
      <c r="S9" t="str">
        <f t="shared" si="1"/>
        <v xml:space="preserve"> ,51</v>
      </c>
      <c r="T9" t="str">
        <f t="shared" si="1"/>
        <v xml:space="preserve"> ,72</v>
      </c>
      <c r="U9" t="str">
        <f t="shared" si="1"/>
        <v xml:space="preserve"> ,74</v>
      </c>
      <c r="V9" t="str">
        <f t="shared" si="1"/>
        <v/>
      </c>
      <c r="Z9" t="str">
        <f t="shared" si="10"/>
        <v>FRANKLYN</v>
      </c>
      <c r="AA9" t="str">
        <f t="shared" si="2"/>
        <v xml:space="preserve"> ,FRANKLY</v>
      </c>
      <c r="AB9" t="str">
        <f t="shared" si="2"/>
        <v xml:space="preserve"> ,FRANKLY</v>
      </c>
      <c r="AC9" t="str">
        <f t="shared" si="2"/>
        <v xml:space="preserve"> ,FRANKLY</v>
      </c>
      <c r="AD9" t="str">
        <f t="shared" si="2"/>
        <v xml:space="preserve"> ,FRANKLYN</v>
      </c>
      <c r="AE9" t="str">
        <f t="shared" si="2"/>
        <v xml:space="preserve"> ,FRANKLY</v>
      </c>
      <c r="AF9" t="str">
        <f t="shared" si="2"/>
        <v/>
      </c>
      <c r="AV9">
        <v>8</v>
      </c>
      <c r="AW9" t="s">
        <v>11</v>
      </c>
    </row>
    <row r="10" spans="1:49" ht="14.4">
      <c r="A10" s="9">
        <v>9</v>
      </c>
      <c r="B10" s="9" t="s">
        <v>6</v>
      </c>
      <c r="C10" s="10">
        <v>2035452391</v>
      </c>
      <c r="D10" s="9" t="s">
        <v>280</v>
      </c>
      <c r="E10" s="9">
        <f>COUNTIF($C$1:C10,C10)</f>
        <v>2</v>
      </c>
      <c r="F10" s="9" t="str">
        <f t="shared" si="3"/>
        <v>20354523912</v>
      </c>
      <c r="G10" s="9">
        <f t="shared" si="11"/>
        <v>0</v>
      </c>
      <c r="H10" s="9">
        <f t="shared" si="4"/>
        <v>0</v>
      </c>
      <c r="I10" s="2">
        <v>9145620814</v>
      </c>
      <c r="J10" s="3">
        <f t="shared" si="5"/>
        <v>1</v>
      </c>
      <c r="K10" s="3">
        <f t="shared" si="12"/>
        <v>0</v>
      </c>
      <c r="L10" s="3" t="e">
        <f t="shared" ca="1" si="6"/>
        <v>#NAME?</v>
      </c>
      <c r="M10" s="3" t="e">
        <f t="shared" ca="1" si="7"/>
        <v>#NAME?</v>
      </c>
      <c r="N10">
        <f t="shared" si="8"/>
        <v>1</v>
      </c>
      <c r="P10">
        <f t="shared" si="9"/>
        <v>11</v>
      </c>
      <c r="Q10" t="str">
        <f t="shared" si="1"/>
        <v/>
      </c>
      <c r="R10" t="str">
        <f t="shared" si="1"/>
        <v/>
      </c>
      <c r="S10" t="str">
        <f t="shared" si="1"/>
        <v/>
      </c>
      <c r="T10" t="str">
        <f t="shared" si="1"/>
        <v/>
      </c>
      <c r="U10" t="str">
        <f t="shared" si="1"/>
        <v/>
      </c>
      <c r="V10" t="str">
        <f t="shared" si="1"/>
        <v/>
      </c>
      <c r="Z10" t="str">
        <f t="shared" si="10"/>
        <v>NETO</v>
      </c>
      <c r="AA10" t="str">
        <f t="shared" si="2"/>
        <v/>
      </c>
      <c r="AB10" t="str">
        <f t="shared" si="2"/>
        <v/>
      </c>
      <c r="AC10" t="str">
        <f t="shared" si="2"/>
        <v/>
      </c>
      <c r="AD10" t="str">
        <f t="shared" si="2"/>
        <v/>
      </c>
      <c r="AE10" t="str">
        <f t="shared" si="2"/>
        <v/>
      </c>
      <c r="AF10" t="str">
        <f t="shared" si="2"/>
        <v/>
      </c>
      <c r="AV10">
        <v>9</v>
      </c>
      <c r="AW10" t="s">
        <v>6</v>
      </c>
    </row>
    <row r="11" spans="1:49" ht="14.4">
      <c r="A11" s="9">
        <v>10</v>
      </c>
      <c r="B11" s="9" t="s">
        <v>12</v>
      </c>
      <c r="C11" s="10">
        <v>2039817839</v>
      </c>
      <c r="D11" s="9" t="s">
        <v>280</v>
      </c>
      <c r="E11" s="9">
        <f>COUNTIF($C$1:C11,C11)</f>
        <v>2</v>
      </c>
      <c r="F11" s="9" t="str">
        <f t="shared" si="3"/>
        <v>20398178392</v>
      </c>
      <c r="G11" s="9">
        <f t="shared" si="11"/>
        <v>0</v>
      </c>
      <c r="H11" s="9">
        <f t="shared" si="4"/>
        <v>0</v>
      </c>
      <c r="I11" s="4">
        <v>2037150399</v>
      </c>
      <c r="J11" s="5">
        <f t="shared" si="5"/>
        <v>2</v>
      </c>
      <c r="K11" s="5">
        <f t="shared" si="12"/>
        <v>0</v>
      </c>
      <c r="L11" s="5" t="e">
        <f t="shared" ca="1" si="6"/>
        <v>#NAME?</v>
      </c>
      <c r="M11" s="5" t="e">
        <f t="shared" ca="1" si="7"/>
        <v>#NAME?</v>
      </c>
      <c r="N11">
        <f t="shared" si="8"/>
        <v>2</v>
      </c>
      <c r="P11">
        <f t="shared" si="9"/>
        <v>12</v>
      </c>
      <c r="Q11" t="str">
        <f t="shared" si="1"/>
        <v xml:space="preserve"> ,20</v>
      </c>
      <c r="R11" t="str">
        <f t="shared" si="1"/>
        <v/>
      </c>
      <c r="S11" t="str">
        <f t="shared" si="1"/>
        <v/>
      </c>
      <c r="T11" t="str">
        <f t="shared" si="1"/>
        <v/>
      </c>
      <c r="U11" t="str">
        <f t="shared" si="1"/>
        <v/>
      </c>
      <c r="V11" t="str">
        <f t="shared" si="1"/>
        <v/>
      </c>
      <c r="Z11" t="str">
        <f t="shared" si="10"/>
        <v>RICARDO SANTOS</v>
      </c>
      <c r="AA11" t="str">
        <f t="shared" si="2"/>
        <v xml:space="preserve"> ,RICARDO SANTOS</v>
      </c>
      <c r="AB11" t="str">
        <f t="shared" si="2"/>
        <v/>
      </c>
      <c r="AC11" t="str">
        <f t="shared" si="2"/>
        <v/>
      </c>
      <c r="AD11" t="str">
        <f t="shared" si="2"/>
        <v/>
      </c>
      <c r="AE11" t="str">
        <f t="shared" si="2"/>
        <v/>
      </c>
      <c r="AF11" t="str">
        <f t="shared" si="2"/>
        <v/>
      </c>
      <c r="AV11">
        <v>10</v>
      </c>
      <c r="AW11" t="s">
        <v>12</v>
      </c>
    </row>
    <row r="12" spans="1:49" ht="14.4">
      <c r="A12" s="9">
        <v>11</v>
      </c>
      <c r="B12" s="9" t="s">
        <v>13</v>
      </c>
      <c r="C12" s="10">
        <v>9145620814</v>
      </c>
      <c r="D12" s="9" t="s">
        <v>280</v>
      </c>
      <c r="E12" s="9">
        <f>COUNTIF($C$1:C12,C12)</f>
        <v>1</v>
      </c>
      <c r="F12" s="9" t="str">
        <f t="shared" si="3"/>
        <v>91456208141</v>
      </c>
      <c r="G12" s="9">
        <f t="shared" si="11"/>
        <v>0</v>
      </c>
      <c r="H12" s="9">
        <f t="shared" si="4"/>
        <v>0</v>
      </c>
      <c r="I12" s="2">
        <v>2039050226</v>
      </c>
      <c r="J12" s="3">
        <f t="shared" si="5"/>
        <v>1</v>
      </c>
      <c r="K12" s="3">
        <f t="shared" si="12"/>
        <v>0</v>
      </c>
      <c r="L12" s="3" t="e">
        <f t="shared" ca="1" si="6"/>
        <v>#NAME?</v>
      </c>
      <c r="M12" s="3" t="e">
        <f t="shared" ca="1" si="7"/>
        <v>#NAME?</v>
      </c>
      <c r="N12">
        <f t="shared" si="8"/>
        <v>1</v>
      </c>
      <c r="P12">
        <f t="shared" si="9"/>
        <v>13</v>
      </c>
      <c r="Q12" t="str">
        <f t="shared" ref="Q12:V21" si="13">IFERROR(" ,"&amp;INDEX($A$2:$A$501,MATCH($I12&amp;Q$1,$F$2:$F$501,0)),"")</f>
        <v/>
      </c>
      <c r="R12" t="str">
        <f t="shared" si="13"/>
        <v/>
      </c>
      <c r="S12" t="str">
        <f t="shared" si="13"/>
        <v/>
      </c>
      <c r="T12" t="str">
        <f t="shared" si="13"/>
        <v/>
      </c>
      <c r="U12" t="str">
        <f t="shared" si="13"/>
        <v/>
      </c>
      <c r="V12" t="str">
        <f t="shared" si="13"/>
        <v/>
      </c>
      <c r="Z12" t="str">
        <f t="shared" si="10"/>
        <v>SEANIE/JULIA</v>
      </c>
      <c r="AA12" t="str">
        <f t="shared" ref="AA12:AF21" si="14">IFERROR(" ,"&amp;INDEX($B$2:$B$501,MATCH($I12&amp;AA$1,$F$2:$F$501,0)),"")</f>
        <v/>
      </c>
      <c r="AB12" t="str">
        <f t="shared" si="14"/>
        <v/>
      </c>
      <c r="AC12" t="str">
        <f t="shared" si="14"/>
        <v/>
      </c>
      <c r="AD12" t="str">
        <f t="shared" si="14"/>
        <v/>
      </c>
      <c r="AE12" t="str">
        <f t="shared" si="14"/>
        <v/>
      </c>
      <c r="AF12" t="str">
        <f t="shared" si="14"/>
        <v/>
      </c>
      <c r="AV12">
        <v>11</v>
      </c>
      <c r="AW12" t="s">
        <v>13</v>
      </c>
    </row>
    <row r="13" spans="1:49" ht="14.4">
      <c r="A13" s="9">
        <v>12</v>
      </c>
      <c r="B13" s="9" t="s">
        <v>14</v>
      </c>
      <c r="C13" s="10">
        <v>2037150399</v>
      </c>
      <c r="D13" s="9" t="s">
        <v>280</v>
      </c>
      <c r="E13" s="9">
        <f>COUNTIF($C$1:C13,C13)</f>
        <v>1</v>
      </c>
      <c r="F13" s="9" t="str">
        <f t="shared" si="3"/>
        <v>20371503991</v>
      </c>
      <c r="G13" s="9">
        <f t="shared" si="11"/>
        <v>0</v>
      </c>
      <c r="H13" s="9">
        <f t="shared" si="4"/>
        <v>0</v>
      </c>
      <c r="I13" s="4">
        <v>2034244624</v>
      </c>
      <c r="J13" s="5">
        <f t="shared" si="5"/>
        <v>2</v>
      </c>
      <c r="K13" s="5">
        <f t="shared" si="12"/>
        <v>0</v>
      </c>
      <c r="L13" s="5" t="e">
        <f t="shared" ca="1" si="6"/>
        <v>#NAME?</v>
      </c>
      <c r="M13" s="5" t="e">
        <f t="shared" ca="1" si="7"/>
        <v>#NAME?</v>
      </c>
      <c r="N13">
        <f t="shared" si="8"/>
        <v>2</v>
      </c>
      <c r="P13">
        <f t="shared" si="9"/>
        <v>14</v>
      </c>
      <c r="Q13" t="str">
        <f t="shared" si="13"/>
        <v xml:space="preserve"> ,17</v>
      </c>
      <c r="R13" t="str">
        <f t="shared" si="13"/>
        <v/>
      </c>
      <c r="S13" t="str">
        <f t="shared" si="13"/>
        <v/>
      </c>
      <c r="T13" t="str">
        <f t="shared" si="13"/>
        <v/>
      </c>
      <c r="U13" t="str">
        <f t="shared" si="13"/>
        <v/>
      </c>
      <c r="V13" t="str">
        <f t="shared" si="13"/>
        <v/>
      </c>
      <c r="Z13" t="str">
        <f t="shared" si="10"/>
        <v>GI</v>
      </c>
      <c r="AA13" t="str">
        <f t="shared" si="14"/>
        <v xml:space="preserve"> ,GI</v>
      </c>
      <c r="AB13" t="str">
        <f t="shared" si="14"/>
        <v/>
      </c>
      <c r="AC13" t="str">
        <f t="shared" si="14"/>
        <v/>
      </c>
      <c r="AD13" t="str">
        <f t="shared" si="14"/>
        <v/>
      </c>
      <c r="AE13" t="str">
        <f t="shared" si="14"/>
        <v/>
      </c>
      <c r="AF13" t="str">
        <f t="shared" si="14"/>
        <v/>
      </c>
      <c r="AV13">
        <v>12</v>
      </c>
      <c r="AW13" t="s">
        <v>14</v>
      </c>
    </row>
    <row r="14" spans="1:49" ht="14.4">
      <c r="A14" s="9">
        <v>13</v>
      </c>
      <c r="B14" s="9" t="s">
        <v>15</v>
      </c>
      <c r="C14" s="10">
        <v>2039050226</v>
      </c>
      <c r="D14" s="9" t="s">
        <v>280</v>
      </c>
      <c r="E14" s="9">
        <f>COUNTIF($C$1:C14,C14)</f>
        <v>1</v>
      </c>
      <c r="F14" s="9" t="str">
        <f t="shared" si="3"/>
        <v>20390502261</v>
      </c>
      <c r="G14" s="9">
        <f t="shared" si="11"/>
        <v>0</v>
      </c>
      <c r="H14" s="9">
        <f t="shared" si="4"/>
        <v>0</v>
      </c>
      <c r="I14" s="2">
        <v>9143569767</v>
      </c>
      <c r="J14" s="3">
        <f t="shared" si="5"/>
        <v>3</v>
      </c>
      <c r="K14" s="3">
        <f t="shared" si="12"/>
        <v>1</v>
      </c>
      <c r="L14" s="3" t="e">
        <f t="shared" ca="1" si="6"/>
        <v>#NAME?</v>
      </c>
      <c r="M14" s="3" t="e">
        <f t="shared" ca="1" si="7"/>
        <v>#NAME?</v>
      </c>
      <c r="N14">
        <f t="shared" si="8"/>
        <v>2</v>
      </c>
      <c r="P14">
        <f t="shared" si="9"/>
        <v>154</v>
      </c>
      <c r="Q14" t="str">
        <f t="shared" si="13"/>
        <v xml:space="preserve"> ,350</v>
      </c>
      <c r="R14" t="str">
        <f t="shared" si="13"/>
        <v xml:space="preserve"> ,490</v>
      </c>
      <c r="S14" t="str">
        <f t="shared" si="13"/>
        <v/>
      </c>
      <c r="T14" t="str">
        <f t="shared" si="13"/>
        <v/>
      </c>
      <c r="U14" t="str">
        <f t="shared" si="13"/>
        <v/>
      </c>
      <c r="V14" t="str">
        <f t="shared" si="13"/>
        <v/>
      </c>
      <c r="Z14" t="str">
        <f t="shared" si="10"/>
        <v>Eduardo tile</v>
      </c>
      <c r="AA14" t="str">
        <f t="shared" si="14"/>
        <v xml:space="preserve"> ,Eduardo tile freee</v>
      </c>
      <c r="AB14" t="str">
        <f t="shared" si="14"/>
        <v xml:space="preserve"> ,Eduardo tile</v>
      </c>
      <c r="AC14" t="str">
        <f t="shared" si="14"/>
        <v/>
      </c>
      <c r="AD14" t="str">
        <f t="shared" si="14"/>
        <v/>
      </c>
      <c r="AE14" t="str">
        <f t="shared" si="14"/>
        <v/>
      </c>
      <c r="AF14" t="str">
        <f t="shared" si="14"/>
        <v/>
      </c>
      <c r="AV14">
        <v>13</v>
      </c>
      <c r="AW14" t="s">
        <v>15</v>
      </c>
    </row>
    <row r="15" spans="1:49" ht="14.4">
      <c r="A15" s="9">
        <v>14</v>
      </c>
      <c r="B15" s="9" t="s">
        <v>16</v>
      </c>
      <c r="C15" s="10">
        <v>2034244624</v>
      </c>
      <c r="D15" s="9" t="s">
        <v>280</v>
      </c>
      <c r="E15" s="9">
        <f>COUNTIF($C$1:C15,C15)</f>
        <v>1</v>
      </c>
      <c r="F15" s="9" t="str">
        <f t="shared" si="3"/>
        <v>20342446241</v>
      </c>
      <c r="G15" s="9">
        <f t="shared" si="11"/>
        <v>0</v>
      </c>
      <c r="H15" s="9">
        <f t="shared" si="4"/>
        <v>0</v>
      </c>
      <c r="I15" s="4">
        <v>2038580805</v>
      </c>
      <c r="J15" s="5">
        <f t="shared" si="5"/>
        <v>2</v>
      </c>
      <c r="K15" s="5">
        <f t="shared" si="12"/>
        <v>0</v>
      </c>
      <c r="L15" s="5" t="e">
        <f t="shared" ca="1" si="6"/>
        <v>#NAME?</v>
      </c>
      <c r="M15" s="5" t="e">
        <f t="shared" ca="1" si="7"/>
        <v>#NAME?</v>
      </c>
      <c r="N15">
        <f t="shared" si="8"/>
        <v>2</v>
      </c>
      <c r="P15">
        <f t="shared" si="9"/>
        <v>18</v>
      </c>
      <c r="Q15" t="str">
        <f t="shared" si="13"/>
        <v xml:space="preserve"> ,23</v>
      </c>
      <c r="R15" t="str">
        <f t="shared" si="13"/>
        <v/>
      </c>
      <c r="S15" t="str">
        <f t="shared" si="13"/>
        <v/>
      </c>
      <c r="T15" t="str">
        <f t="shared" si="13"/>
        <v/>
      </c>
      <c r="U15" t="str">
        <f t="shared" si="13"/>
        <v/>
      </c>
      <c r="V15" t="str">
        <f t="shared" si="13"/>
        <v/>
      </c>
      <c r="Z15" t="str">
        <f t="shared" si="10"/>
        <v>SERGIO</v>
      </c>
      <c r="AA15" t="str">
        <f t="shared" si="14"/>
        <v xml:space="preserve"> ,SERGIO</v>
      </c>
      <c r="AB15" t="str">
        <f t="shared" si="14"/>
        <v/>
      </c>
      <c r="AC15" t="str">
        <f t="shared" si="14"/>
        <v/>
      </c>
      <c r="AD15" t="str">
        <f t="shared" si="14"/>
        <v/>
      </c>
      <c r="AE15" t="str">
        <f t="shared" si="14"/>
        <v/>
      </c>
      <c r="AF15" t="str">
        <f t="shared" si="14"/>
        <v/>
      </c>
      <c r="AV15">
        <v>14</v>
      </c>
      <c r="AW15" t="s">
        <v>16</v>
      </c>
    </row>
    <row r="16" spans="1:49" ht="14.4" hidden="1">
      <c r="A16" s="9">
        <v>15</v>
      </c>
      <c r="B16" s="9" t="s">
        <v>12</v>
      </c>
      <c r="C16" s="10">
        <v>2039817839</v>
      </c>
      <c r="D16" s="9" t="s">
        <v>280</v>
      </c>
      <c r="E16" s="9">
        <f>COUNTIF($C$1:C16,C16)</f>
        <v>3</v>
      </c>
      <c r="F16" s="9" t="str">
        <f t="shared" si="3"/>
        <v>20398178393</v>
      </c>
      <c r="G16" s="9">
        <f t="shared" si="11"/>
        <v>0</v>
      </c>
      <c r="H16" s="9">
        <f t="shared" si="4"/>
        <v>0</v>
      </c>
      <c r="I16" s="2">
        <v>2032803585</v>
      </c>
      <c r="J16" s="3">
        <f t="shared" si="5"/>
        <v>2</v>
      </c>
      <c r="K16" s="3">
        <f t="shared" si="12"/>
        <v>2</v>
      </c>
      <c r="L16" s="3" t="e">
        <f t="shared" ca="1" si="6"/>
        <v>#NAME?</v>
      </c>
      <c r="M16" s="3" t="e">
        <f t="shared" ca="1" si="7"/>
        <v>#NAME?</v>
      </c>
      <c r="N16">
        <f t="shared" si="8"/>
        <v>0</v>
      </c>
      <c r="P16">
        <f t="shared" si="9"/>
        <v>19</v>
      </c>
      <c r="Q16" t="str">
        <f t="shared" si="13"/>
        <v xml:space="preserve"> ,27</v>
      </c>
      <c r="R16" t="str">
        <f t="shared" si="13"/>
        <v/>
      </c>
      <c r="S16" t="str">
        <f t="shared" si="13"/>
        <v/>
      </c>
      <c r="T16" t="str">
        <f t="shared" si="13"/>
        <v/>
      </c>
      <c r="U16" t="str">
        <f t="shared" si="13"/>
        <v/>
      </c>
      <c r="V16" t="str">
        <f t="shared" si="13"/>
        <v/>
      </c>
      <c r="Z16" t="str">
        <f t="shared" si="10"/>
        <v>GILSON pg</v>
      </c>
      <c r="AA16" t="str">
        <f t="shared" si="14"/>
        <v xml:space="preserve"> ,GILSON pg</v>
      </c>
      <c r="AB16" t="str">
        <f t="shared" si="14"/>
        <v/>
      </c>
      <c r="AC16" t="str">
        <f t="shared" si="14"/>
        <v/>
      </c>
      <c r="AD16" t="str">
        <f t="shared" si="14"/>
        <v/>
      </c>
      <c r="AE16" t="str">
        <f t="shared" si="14"/>
        <v/>
      </c>
      <c r="AF16" t="str">
        <f t="shared" si="14"/>
        <v/>
      </c>
      <c r="AV16">
        <v>15</v>
      </c>
      <c r="AW16" t="s">
        <v>12</v>
      </c>
    </row>
    <row r="17" spans="1:49" ht="14.4">
      <c r="A17" s="9">
        <v>16</v>
      </c>
      <c r="B17" s="9"/>
      <c r="C17" s="10"/>
      <c r="D17" s="9"/>
      <c r="E17" s="9">
        <f>COUNTIF($C$1:C17,C17)</f>
        <v>0</v>
      </c>
      <c r="F17" s="9" t="str">
        <f t="shared" si="3"/>
        <v>0</v>
      </c>
      <c r="G17" s="9">
        <f t="shared" si="11"/>
        <v>0</v>
      </c>
      <c r="H17" s="9">
        <f t="shared" si="4"/>
        <v>0</v>
      </c>
      <c r="I17" s="4">
        <v>2033490246</v>
      </c>
      <c r="J17" s="5">
        <f t="shared" si="5"/>
        <v>5</v>
      </c>
      <c r="K17" s="5">
        <f t="shared" si="12"/>
        <v>4</v>
      </c>
      <c r="L17" s="5" t="e">
        <f t="shared" ca="1" si="6"/>
        <v>#NAME?</v>
      </c>
      <c r="M17" s="5" t="e">
        <f t="shared" ca="1" si="7"/>
        <v>#NAME?</v>
      </c>
      <c r="N17">
        <f t="shared" si="8"/>
        <v>1</v>
      </c>
      <c r="P17">
        <f t="shared" si="9"/>
        <v>21</v>
      </c>
      <c r="Q17" t="str">
        <f t="shared" si="13"/>
        <v xml:space="preserve"> ,29</v>
      </c>
      <c r="R17" t="str">
        <f t="shared" si="13"/>
        <v xml:space="preserve"> ,62</v>
      </c>
      <c r="S17" t="str">
        <f t="shared" si="13"/>
        <v xml:space="preserve"> ,191</v>
      </c>
      <c r="T17" t="str">
        <f t="shared" si="13"/>
        <v xml:space="preserve"> ,500</v>
      </c>
      <c r="U17" t="str">
        <f t="shared" si="13"/>
        <v/>
      </c>
      <c r="V17" t="str">
        <f t="shared" si="13"/>
        <v/>
      </c>
      <c r="Z17" t="str">
        <f t="shared" si="10"/>
        <v>SOLON pg</v>
      </c>
      <c r="AA17" t="str">
        <f t="shared" si="14"/>
        <v xml:space="preserve"> ,SOLON pg</v>
      </c>
      <c r="AB17" t="str">
        <f t="shared" si="14"/>
        <v xml:space="preserve"> ,EDINEI ALVES amigo solon</v>
      </c>
      <c r="AC17" t="str">
        <f t="shared" si="14"/>
        <v xml:space="preserve"> ,SOLON pg</v>
      </c>
      <c r="AD17" t="str">
        <f t="shared" si="14"/>
        <v xml:space="preserve"> ,SOLON pg</v>
      </c>
      <c r="AE17" t="str">
        <f t="shared" si="14"/>
        <v/>
      </c>
      <c r="AF17" t="str">
        <f t="shared" si="14"/>
        <v/>
      </c>
      <c r="AV17">
        <v>16</v>
      </c>
    </row>
    <row r="18" spans="1:49" ht="14.4">
      <c r="A18" s="9">
        <v>17</v>
      </c>
      <c r="B18" s="9" t="s">
        <v>16</v>
      </c>
      <c r="C18" s="10">
        <v>2034244624</v>
      </c>
      <c r="D18" s="9" t="s">
        <v>280</v>
      </c>
      <c r="E18" s="9">
        <f>COUNTIF($C$1:C18,C18)</f>
        <v>2</v>
      </c>
      <c r="F18" s="9" t="str">
        <f t="shared" si="3"/>
        <v>20342446242</v>
      </c>
      <c r="G18" s="9">
        <f t="shared" si="11"/>
        <v>0</v>
      </c>
      <c r="H18" s="9">
        <f t="shared" si="4"/>
        <v>0</v>
      </c>
      <c r="I18" s="2">
        <v>9144975684</v>
      </c>
      <c r="J18" s="3">
        <f t="shared" si="5"/>
        <v>2</v>
      </c>
      <c r="K18" s="3">
        <f t="shared" si="12"/>
        <v>0</v>
      </c>
      <c r="L18" s="3" t="e">
        <f t="shared" ca="1" si="6"/>
        <v>#NAME?</v>
      </c>
      <c r="M18" s="3" t="e">
        <f t="shared" ca="1" si="7"/>
        <v>#NAME?</v>
      </c>
      <c r="N18">
        <f t="shared" si="8"/>
        <v>2</v>
      </c>
      <c r="P18">
        <f t="shared" si="9"/>
        <v>22</v>
      </c>
      <c r="Q18" t="str">
        <f t="shared" si="13"/>
        <v xml:space="preserve"> ,60</v>
      </c>
      <c r="R18" t="str">
        <f t="shared" si="13"/>
        <v/>
      </c>
      <c r="S18" t="str">
        <f t="shared" si="13"/>
        <v/>
      </c>
      <c r="T18" t="str">
        <f t="shared" si="13"/>
        <v/>
      </c>
      <c r="U18" t="str">
        <f t="shared" si="13"/>
        <v/>
      </c>
      <c r="V18" t="str">
        <f t="shared" si="13"/>
        <v/>
      </c>
      <c r="Z18" t="str">
        <f t="shared" si="10"/>
        <v>BOY</v>
      </c>
      <c r="AA18" t="str">
        <f t="shared" si="14"/>
        <v xml:space="preserve"> ,BOY</v>
      </c>
      <c r="AB18" t="str">
        <f t="shared" si="14"/>
        <v/>
      </c>
      <c r="AC18" t="str">
        <f t="shared" si="14"/>
        <v/>
      </c>
      <c r="AD18" t="str">
        <f t="shared" si="14"/>
        <v/>
      </c>
      <c r="AE18" t="str">
        <f t="shared" si="14"/>
        <v/>
      </c>
      <c r="AF18" t="str">
        <f t="shared" si="14"/>
        <v/>
      </c>
      <c r="AV18">
        <v>17</v>
      </c>
      <c r="AW18" t="s">
        <v>16</v>
      </c>
    </row>
    <row r="19" spans="1:49" ht="14.4">
      <c r="A19" s="9">
        <v>18</v>
      </c>
      <c r="B19" s="9" t="s">
        <v>18</v>
      </c>
      <c r="C19" s="10">
        <v>2038580805</v>
      </c>
      <c r="D19" s="9" t="s">
        <v>280</v>
      </c>
      <c r="E19" s="9">
        <f>COUNTIF($C$1:C19,C19)</f>
        <v>1</v>
      </c>
      <c r="F19" s="9" t="str">
        <f t="shared" si="3"/>
        <v>20385808051</v>
      </c>
      <c r="G19" s="9">
        <f t="shared" si="11"/>
        <v>0</v>
      </c>
      <c r="H19" s="9">
        <f t="shared" si="4"/>
        <v>0</v>
      </c>
      <c r="I19" s="4">
        <v>2039538965</v>
      </c>
      <c r="J19" s="5">
        <f t="shared" si="5"/>
        <v>3</v>
      </c>
      <c r="K19" s="5">
        <f t="shared" si="12"/>
        <v>0</v>
      </c>
      <c r="L19" s="5" t="e">
        <f t="shared" ca="1" si="6"/>
        <v>#NAME?</v>
      </c>
      <c r="M19" s="5" t="e">
        <f t="shared" ca="1" si="7"/>
        <v>#NAME?</v>
      </c>
      <c r="N19">
        <f t="shared" si="8"/>
        <v>3</v>
      </c>
      <c r="P19">
        <f t="shared" si="9"/>
        <v>24</v>
      </c>
      <c r="Q19" t="str">
        <f t="shared" si="13"/>
        <v xml:space="preserve"> ,38</v>
      </c>
      <c r="R19" t="str">
        <f t="shared" si="13"/>
        <v xml:space="preserve"> ,69</v>
      </c>
      <c r="S19" t="str">
        <f t="shared" si="13"/>
        <v/>
      </c>
      <c r="T19" t="str">
        <f t="shared" si="13"/>
        <v/>
      </c>
      <c r="U19" t="str">
        <f t="shared" si="13"/>
        <v/>
      </c>
      <c r="V19" t="str">
        <f t="shared" si="13"/>
        <v/>
      </c>
      <c r="Z19" t="str">
        <f t="shared" si="10"/>
        <v>ALEXANDRE DA SILVA</v>
      </c>
      <c r="AA19" t="str">
        <f t="shared" si="14"/>
        <v xml:space="preserve"> ,ALEXANDRE DA SILVA</v>
      </c>
      <c r="AB19" t="str">
        <f t="shared" si="14"/>
        <v xml:space="preserve"> ,LUCIANO</v>
      </c>
      <c r="AC19" t="str">
        <f t="shared" si="14"/>
        <v/>
      </c>
      <c r="AD19" t="str">
        <f t="shared" si="14"/>
        <v/>
      </c>
      <c r="AE19" t="str">
        <f t="shared" si="14"/>
        <v/>
      </c>
      <c r="AF19" t="str">
        <f t="shared" si="14"/>
        <v/>
      </c>
      <c r="AV19">
        <v>18</v>
      </c>
      <c r="AW19" t="s">
        <v>18</v>
      </c>
    </row>
    <row r="20" spans="1:49" ht="14.4">
      <c r="A20" s="9">
        <v>19</v>
      </c>
      <c r="B20" s="9" t="s">
        <v>323</v>
      </c>
      <c r="C20" s="10">
        <v>2032803585</v>
      </c>
      <c r="D20" s="9" t="s">
        <v>280</v>
      </c>
      <c r="E20" s="9">
        <f>COUNTIF($C$1:C20,C20)</f>
        <v>1</v>
      </c>
      <c r="F20" s="9" t="str">
        <f t="shared" si="3"/>
        <v>20328035851</v>
      </c>
      <c r="G20" s="9">
        <f t="shared" si="11"/>
        <v>1</v>
      </c>
      <c r="H20" s="9">
        <f t="shared" si="4"/>
        <v>0</v>
      </c>
      <c r="I20" s="2">
        <v>2039943998</v>
      </c>
      <c r="J20" s="3">
        <f t="shared" si="5"/>
        <v>4</v>
      </c>
      <c r="K20" s="3">
        <f t="shared" si="12"/>
        <v>0</v>
      </c>
      <c r="L20" s="3" t="e">
        <f t="shared" ca="1" si="6"/>
        <v>#NAME?</v>
      </c>
      <c r="M20" s="3" t="e">
        <f t="shared" ca="1" si="7"/>
        <v>#NAME?</v>
      </c>
      <c r="N20">
        <f t="shared" si="8"/>
        <v>4</v>
      </c>
      <c r="P20">
        <f t="shared" si="9"/>
        <v>26</v>
      </c>
      <c r="Q20" t="str">
        <f t="shared" si="13"/>
        <v xml:space="preserve"> ,45</v>
      </c>
      <c r="R20" t="str">
        <f t="shared" si="13"/>
        <v xml:space="preserve"> ,171</v>
      </c>
      <c r="S20" t="str">
        <f t="shared" si="13"/>
        <v xml:space="preserve"> ,226</v>
      </c>
      <c r="T20" t="str">
        <f t="shared" si="13"/>
        <v/>
      </c>
      <c r="U20" t="str">
        <f t="shared" si="13"/>
        <v/>
      </c>
      <c r="V20" t="str">
        <f t="shared" si="13"/>
        <v/>
      </c>
      <c r="Z20" t="str">
        <f t="shared" si="10"/>
        <v>FERNANDO XARA</v>
      </c>
      <c r="AA20" t="str">
        <f t="shared" si="14"/>
        <v xml:space="preserve"> ,FERNANDO XARA</v>
      </c>
      <c r="AB20" t="str">
        <f t="shared" si="14"/>
        <v xml:space="preserve"> ,FERNANDO XARA</v>
      </c>
      <c r="AC20" t="str">
        <f t="shared" si="14"/>
        <v xml:space="preserve"> ,FERNANDO XARA</v>
      </c>
      <c r="AD20" t="str">
        <f t="shared" si="14"/>
        <v/>
      </c>
      <c r="AE20" t="str">
        <f t="shared" si="14"/>
        <v/>
      </c>
      <c r="AF20" t="str">
        <f t="shared" si="14"/>
        <v/>
      </c>
      <c r="AV20">
        <v>19</v>
      </c>
      <c r="AW20" t="s">
        <v>19</v>
      </c>
    </row>
    <row r="21" spans="1:49" ht="14.4">
      <c r="A21" s="9">
        <v>20</v>
      </c>
      <c r="B21" s="9" t="s">
        <v>14</v>
      </c>
      <c r="C21" s="10">
        <v>2037150399</v>
      </c>
      <c r="D21" s="9" t="s">
        <v>280</v>
      </c>
      <c r="E21" s="9">
        <f>COUNTIF($C$1:C21,C21)</f>
        <v>2</v>
      </c>
      <c r="F21" s="9" t="str">
        <f t="shared" si="3"/>
        <v>20371503992</v>
      </c>
      <c r="G21" s="9">
        <f t="shared" si="11"/>
        <v>0</v>
      </c>
      <c r="H21" s="9">
        <f t="shared" si="4"/>
        <v>0</v>
      </c>
      <c r="I21" s="4">
        <v>2033607352</v>
      </c>
      <c r="J21" s="5">
        <f t="shared" si="5"/>
        <v>3</v>
      </c>
      <c r="K21" s="5">
        <f t="shared" si="12"/>
        <v>0</v>
      </c>
      <c r="L21" s="5" t="e">
        <f t="shared" ca="1" si="6"/>
        <v>#NAME?</v>
      </c>
      <c r="M21" s="5" t="e">
        <f t="shared" ca="1" si="7"/>
        <v>#NAME?</v>
      </c>
      <c r="N21">
        <f t="shared" si="8"/>
        <v>3</v>
      </c>
      <c r="P21">
        <f t="shared" si="9"/>
        <v>28</v>
      </c>
      <c r="Q21" t="str">
        <f t="shared" si="13"/>
        <v xml:space="preserve"> ,44</v>
      </c>
      <c r="R21" t="str">
        <f t="shared" si="13"/>
        <v xml:space="preserve"> ,137</v>
      </c>
      <c r="S21" t="str">
        <f t="shared" si="13"/>
        <v/>
      </c>
      <c r="T21" t="str">
        <f t="shared" si="13"/>
        <v/>
      </c>
      <c r="U21" t="str">
        <f t="shared" si="13"/>
        <v/>
      </c>
      <c r="V21" t="str">
        <f t="shared" si="13"/>
        <v/>
      </c>
      <c r="Z21" t="str">
        <f t="shared" si="10"/>
        <v>WELVERTON</v>
      </c>
      <c r="AA21" t="str">
        <f t="shared" si="14"/>
        <v xml:space="preserve"> ,CRISTIANO</v>
      </c>
      <c r="AB21" t="str">
        <f t="shared" si="14"/>
        <v xml:space="preserve"> ,CRISTIANO</v>
      </c>
      <c r="AC21" t="str">
        <f t="shared" si="14"/>
        <v/>
      </c>
      <c r="AD21" t="str">
        <f t="shared" si="14"/>
        <v/>
      </c>
      <c r="AE21" t="str">
        <f t="shared" si="14"/>
        <v/>
      </c>
      <c r="AF21" t="str">
        <f t="shared" si="14"/>
        <v/>
      </c>
      <c r="AV21">
        <v>20</v>
      </c>
      <c r="AW21" t="s">
        <v>14</v>
      </c>
    </row>
    <row r="22" spans="1:49" ht="14.4">
      <c r="A22" s="9">
        <v>21</v>
      </c>
      <c r="B22" s="9" t="s">
        <v>20</v>
      </c>
      <c r="C22" s="10">
        <v>2033490246</v>
      </c>
      <c r="D22" s="9" t="s">
        <v>280</v>
      </c>
      <c r="E22" s="9">
        <f>COUNTIF($C$1:C22,C22)</f>
        <v>1</v>
      </c>
      <c r="F22" s="9" t="str">
        <f t="shared" si="3"/>
        <v>20334902461</v>
      </c>
      <c r="G22" s="9">
        <f t="shared" si="11"/>
        <v>1</v>
      </c>
      <c r="H22" s="9">
        <f t="shared" si="4"/>
        <v>0</v>
      </c>
      <c r="I22" s="2">
        <v>5511997219288</v>
      </c>
      <c r="J22" s="3">
        <f t="shared" si="5"/>
        <v>1</v>
      </c>
      <c r="K22" s="3">
        <f t="shared" si="12"/>
        <v>0</v>
      </c>
      <c r="L22" s="3" t="e">
        <f t="shared" ca="1" si="6"/>
        <v>#NAME?</v>
      </c>
      <c r="M22" s="3" t="e">
        <f t="shared" ca="1" si="7"/>
        <v>#NAME?</v>
      </c>
      <c r="N22">
        <f t="shared" si="8"/>
        <v>1</v>
      </c>
      <c r="P22">
        <f t="shared" si="9"/>
        <v>30</v>
      </c>
      <c r="Q22" t="str">
        <f t="shared" ref="Q22:V31" si="15">IFERROR(" ,"&amp;INDEX($A$2:$A$501,MATCH($I22&amp;Q$1,$F$2:$F$501,0)),"")</f>
        <v/>
      </c>
      <c r="R22" t="str">
        <f t="shared" si="15"/>
        <v/>
      </c>
      <c r="S22" t="str">
        <f t="shared" si="15"/>
        <v/>
      </c>
      <c r="T22" t="str">
        <f t="shared" si="15"/>
        <v/>
      </c>
      <c r="U22" t="str">
        <f t="shared" si="15"/>
        <v/>
      </c>
      <c r="V22" t="str">
        <f t="shared" si="15"/>
        <v/>
      </c>
      <c r="Z22" t="str">
        <f t="shared" si="10"/>
        <v>PAULO HENRIQUE</v>
      </c>
      <c r="AA22" t="str">
        <f t="shared" ref="AA22:AF31" si="16">IFERROR(" ,"&amp;INDEX($B$2:$B$501,MATCH($I22&amp;AA$1,$F$2:$F$501,0)),"")</f>
        <v/>
      </c>
      <c r="AB22" t="str">
        <f t="shared" si="16"/>
        <v/>
      </c>
      <c r="AC22" t="str">
        <f t="shared" si="16"/>
        <v/>
      </c>
      <c r="AD22" t="str">
        <f t="shared" si="16"/>
        <v/>
      </c>
      <c r="AE22" t="str">
        <f t="shared" si="16"/>
        <v/>
      </c>
      <c r="AF22" t="str">
        <f t="shared" si="16"/>
        <v/>
      </c>
      <c r="AV22">
        <v>21</v>
      </c>
      <c r="AW22" t="s">
        <v>20</v>
      </c>
    </row>
    <row r="23" spans="1:49" ht="14.4">
      <c r="A23" s="9">
        <v>22</v>
      </c>
      <c r="B23" s="9" t="s">
        <v>21</v>
      </c>
      <c r="C23" s="10">
        <v>9144975684</v>
      </c>
      <c r="D23" s="9" t="s">
        <v>280</v>
      </c>
      <c r="E23" s="9">
        <f>COUNTIF($C$1:C23,C23)</f>
        <v>1</v>
      </c>
      <c r="F23" s="9" t="str">
        <f t="shared" si="3"/>
        <v>91449756841</v>
      </c>
      <c r="G23" s="9">
        <f t="shared" si="11"/>
        <v>0</v>
      </c>
      <c r="H23" s="9">
        <f t="shared" si="4"/>
        <v>0</v>
      </c>
      <c r="I23" s="4">
        <v>2038731605</v>
      </c>
      <c r="J23" s="5">
        <f t="shared" si="5"/>
        <v>1</v>
      </c>
      <c r="K23" s="5">
        <f t="shared" si="12"/>
        <v>0</v>
      </c>
      <c r="L23" s="5" t="e">
        <f t="shared" ca="1" si="6"/>
        <v>#NAME?</v>
      </c>
      <c r="M23" s="5" t="e">
        <f t="shared" ca="1" si="7"/>
        <v>#NAME?</v>
      </c>
      <c r="N23">
        <f t="shared" si="8"/>
        <v>1</v>
      </c>
      <c r="P23">
        <f t="shared" si="9"/>
        <v>31</v>
      </c>
      <c r="Q23" t="str">
        <f t="shared" si="15"/>
        <v/>
      </c>
      <c r="R23" t="str">
        <f t="shared" si="15"/>
        <v/>
      </c>
      <c r="S23" t="str">
        <f t="shared" si="15"/>
        <v/>
      </c>
      <c r="T23" t="str">
        <f t="shared" si="15"/>
        <v/>
      </c>
      <c r="U23" t="str">
        <f t="shared" si="15"/>
        <v/>
      </c>
      <c r="V23" t="str">
        <f t="shared" si="15"/>
        <v/>
      </c>
      <c r="Z23" t="str">
        <f t="shared" si="10"/>
        <v>OSNI</v>
      </c>
      <c r="AA23" t="str">
        <f t="shared" si="16"/>
        <v/>
      </c>
      <c r="AB23" t="str">
        <f t="shared" si="16"/>
        <v/>
      </c>
      <c r="AC23" t="str">
        <f t="shared" si="16"/>
        <v/>
      </c>
      <c r="AD23" t="str">
        <f t="shared" si="16"/>
        <v/>
      </c>
      <c r="AE23" t="str">
        <f t="shared" si="16"/>
        <v/>
      </c>
      <c r="AF23" t="str">
        <f t="shared" si="16"/>
        <v/>
      </c>
      <c r="AV23">
        <v>22</v>
      </c>
      <c r="AW23" t="s">
        <v>21</v>
      </c>
    </row>
    <row r="24" spans="1:49" ht="14.4" hidden="1">
      <c r="A24" s="9">
        <v>23</v>
      </c>
      <c r="B24" s="9" t="s">
        <v>18</v>
      </c>
      <c r="C24" s="10">
        <v>2038580805</v>
      </c>
      <c r="D24" s="9" t="s">
        <v>280</v>
      </c>
      <c r="E24" s="9">
        <f>COUNTIF($C$1:C24,C24)</f>
        <v>2</v>
      </c>
      <c r="F24" s="9" t="str">
        <f t="shared" si="3"/>
        <v>20385808052</v>
      </c>
      <c r="G24" s="9">
        <f t="shared" si="11"/>
        <v>0</v>
      </c>
      <c r="H24" s="9">
        <f t="shared" si="4"/>
        <v>0</v>
      </c>
      <c r="I24" s="2">
        <v>2035595696</v>
      </c>
      <c r="J24" s="3">
        <f t="shared" si="5"/>
        <v>1</v>
      </c>
      <c r="K24" s="3">
        <f t="shared" si="12"/>
        <v>1</v>
      </c>
      <c r="L24" s="3" t="e">
        <f t="shared" ca="1" si="6"/>
        <v>#NAME?</v>
      </c>
      <c r="M24" s="3" t="e">
        <f t="shared" ca="1" si="7"/>
        <v>#NAME?</v>
      </c>
      <c r="N24">
        <f t="shared" si="8"/>
        <v>0</v>
      </c>
      <c r="P24">
        <f t="shared" si="9"/>
        <v>33</v>
      </c>
      <c r="Q24" t="str">
        <f t="shared" si="15"/>
        <v/>
      </c>
      <c r="R24" t="str">
        <f t="shared" si="15"/>
        <v/>
      </c>
      <c r="S24" t="str">
        <f t="shared" si="15"/>
        <v/>
      </c>
      <c r="T24" t="str">
        <f t="shared" si="15"/>
        <v/>
      </c>
      <c r="U24" t="str">
        <f t="shared" si="15"/>
        <v/>
      </c>
      <c r="V24" t="str">
        <f t="shared" si="15"/>
        <v/>
      </c>
      <c r="Z24" t="str">
        <f t="shared" si="10"/>
        <v>JAIRO pg</v>
      </c>
      <c r="AA24" t="str">
        <f t="shared" si="16"/>
        <v/>
      </c>
      <c r="AB24" t="str">
        <f t="shared" si="16"/>
        <v/>
      </c>
      <c r="AC24" t="str">
        <f t="shared" si="16"/>
        <v/>
      </c>
      <c r="AD24" t="str">
        <f t="shared" si="16"/>
        <v/>
      </c>
      <c r="AE24" t="str">
        <f t="shared" si="16"/>
        <v/>
      </c>
      <c r="AF24" t="str">
        <f t="shared" si="16"/>
        <v/>
      </c>
      <c r="AV24">
        <v>23</v>
      </c>
      <c r="AW24" t="s">
        <v>18</v>
      </c>
    </row>
    <row r="25" spans="1:49" ht="14.4" hidden="1">
      <c r="A25" s="9">
        <v>24</v>
      </c>
      <c r="B25" s="9" t="s">
        <v>22</v>
      </c>
      <c r="C25" s="10">
        <v>2039538965</v>
      </c>
      <c r="D25" s="9" t="s">
        <v>280</v>
      </c>
      <c r="E25" s="9">
        <f>COUNTIF($C$1:C25,C25)</f>
        <v>1</v>
      </c>
      <c r="F25" s="9" t="str">
        <f t="shared" si="3"/>
        <v>20395389651</v>
      </c>
      <c r="G25" s="9">
        <f t="shared" si="11"/>
        <v>0</v>
      </c>
      <c r="H25" s="9">
        <f t="shared" si="4"/>
        <v>0</v>
      </c>
      <c r="I25" s="4">
        <v>2039534887</v>
      </c>
      <c r="J25" s="5">
        <f t="shared" si="5"/>
        <v>3</v>
      </c>
      <c r="K25" s="5">
        <f t="shared" si="12"/>
        <v>3</v>
      </c>
      <c r="L25" s="5" t="e">
        <f t="shared" ca="1" si="6"/>
        <v>#NAME?</v>
      </c>
      <c r="M25" s="5" t="e">
        <f t="shared" ca="1" si="7"/>
        <v>#NAME?</v>
      </c>
      <c r="N25">
        <f t="shared" si="8"/>
        <v>0</v>
      </c>
      <c r="P25">
        <f t="shared" si="9"/>
        <v>34</v>
      </c>
      <c r="Q25" t="str">
        <f t="shared" si="15"/>
        <v xml:space="preserve"> ,167</v>
      </c>
      <c r="R25" t="str">
        <f t="shared" si="15"/>
        <v xml:space="preserve"> ,423</v>
      </c>
      <c r="S25" t="str">
        <f t="shared" si="15"/>
        <v/>
      </c>
      <c r="T25" t="str">
        <f t="shared" si="15"/>
        <v/>
      </c>
      <c r="U25" t="str">
        <f t="shared" si="15"/>
        <v/>
      </c>
      <c r="V25" t="str">
        <f t="shared" si="15"/>
        <v/>
      </c>
      <c r="Z25" t="str">
        <f t="shared" si="10"/>
        <v>Two (Allisson) pg</v>
      </c>
      <c r="AA25" t="str">
        <f t="shared" si="16"/>
        <v xml:space="preserve"> ,Two (Allisson)pg</v>
      </c>
      <c r="AB25" t="str">
        <f t="shared" si="16"/>
        <v xml:space="preserve"> ,Two (Allisson) f pg</v>
      </c>
      <c r="AC25" t="str">
        <f t="shared" si="16"/>
        <v/>
      </c>
      <c r="AD25" t="str">
        <f t="shared" si="16"/>
        <v/>
      </c>
      <c r="AE25" t="str">
        <f t="shared" si="16"/>
        <v/>
      </c>
      <c r="AF25" t="str">
        <f t="shared" si="16"/>
        <v/>
      </c>
      <c r="AV25">
        <v>24</v>
      </c>
      <c r="AW25" t="s">
        <v>22</v>
      </c>
    </row>
    <row r="26" spans="1:49" ht="14.4">
      <c r="A26" s="9">
        <v>25</v>
      </c>
      <c r="B26" s="9" t="s">
        <v>324</v>
      </c>
      <c r="C26" s="10">
        <v>9144337335</v>
      </c>
      <c r="D26" s="9" t="s">
        <v>280</v>
      </c>
      <c r="E26" s="9">
        <f>COUNTIF($C$1:C26,C26)</f>
        <v>2</v>
      </c>
      <c r="F26" s="9" t="str">
        <f t="shared" si="3"/>
        <v>91443373352</v>
      </c>
      <c r="G26" s="9">
        <f t="shared" si="11"/>
        <v>1</v>
      </c>
      <c r="H26" s="9">
        <f t="shared" si="4"/>
        <v>0</v>
      </c>
      <c r="I26" s="2">
        <v>2032437348</v>
      </c>
      <c r="J26" s="3">
        <f t="shared" si="5"/>
        <v>1</v>
      </c>
      <c r="K26" s="3">
        <f t="shared" si="12"/>
        <v>0</v>
      </c>
      <c r="L26" s="3" t="e">
        <f t="shared" ca="1" si="6"/>
        <v>#NAME?</v>
      </c>
      <c r="M26" s="3" t="e">
        <f t="shared" ca="1" si="7"/>
        <v>#NAME?</v>
      </c>
      <c r="N26">
        <f t="shared" si="8"/>
        <v>1</v>
      </c>
      <c r="P26">
        <f t="shared" si="9"/>
        <v>35</v>
      </c>
      <c r="Q26" t="str">
        <f t="shared" si="15"/>
        <v/>
      </c>
      <c r="R26" t="str">
        <f t="shared" si="15"/>
        <v/>
      </c>
      <c r="S26" t="str">
        <f t="shared" si="15"/>
        <v/>
      </c>
      <c r="T26" t="str">
        <f t="shared" si="15"/>
        <v/>
      </c>
      <c r="U26" t="str">
        <f t="shared" si="15"/>
        <v/>
      </c>
      <c r="V26" t="str">
        <f t="shared" si="15"/>
        <v/>
      </c>
      <c r="Z26" t="str">
        <f t="shared" si="10"/>
        <v>BETO</v>
      </c>
      <c r="AA26" t="str">
        <f t="shared" si="16"/>
        <v/>
      </c>
      <c r="AB26" t="str">
        <f t="shared" si="16"/>
        <v/>
      </c>
      <c r="AC26" t="str">
        <f t="shared" si="16"/>
        <v/>
      </c>
      <c r="AD26" t="str">
        <f t="shared" si="16"/>
        <v/>
      </c>
      <c r="AE26" t="str">
        <f t="shared" si="16"/>
        <v/>
      </c>
      <c r="AF26" t="str">
        <f t="shared" si="16"/>
        <v/>
      </c>
      <c r="AV26">
        <v>25</v>
      </c>
      <c r="AW26" t="s">
        <v>7</v>
      </c>
    </row>
    <row r="27" spans="1:49" ht="14.4">
      <c r="A27" s="9">
        <v>26</v>
      </c>
      <c r="B27" s="9" t="s">
        <v>23</v>
      </c>
      <c r="C27" s="10">
        <v>2039943998</v>
      </c>
      <c r="D27" s="9" t="s">
        <v>280</v>
      </c>
      <c r="E27" s="9">
        <f>COUNTIF($C$1:C27,C27)</f>
        <v>1</v>
      </c>
      <c r="F27" s="9" t="str">
        <f t="shared" si="3"/>
        <v>20399439981</v>
      </c>
      <c r="G27" s="9">
        <f t="shared" si="11"/>
        <v>0</v>
      </c>
      <c r="H27" s="9">
        <f t="shared" si="4"/>
        <v>0</v>
      </c>
      <c r="I27" s="4">
        <v>2035158719</v>
      </c>
      <c r="J27" s="5">
        <f t="shared" si="5"/>
        <v>4</v>
      </c>
      <c r="K27" s="5">
        <f t="shared" si="12"/>
        <v>0</v>
      </c>
      <c r="L27" s="5" t="e">
        <f t="shared" ca="1" si="6"/>
        <v>#NAME?</v>
      </c>
      <c r="M27" s="5" t="e">
        <f t="shared" ca="1" si="7"/>
        <v>#NAME?</v>
      </c>
      <c r="N27">
        <f t="shared" si="8"/>
        <v>4</v>
      </c>
      <c r="P27">
        <f t="shared" si="9"/>
        <v>36</v>
      </c>
      <c r="Q27" t="str">
        <f t="shared" si="15"/>
        <v xml:space="preserve"> ,54</v>
      </c>
      <c r="R27" t="str">
        <f t="shared" si="15"/>
        <v xml:space="preserve"> ,55</v>
      </c>
      <c r="S27" t="str">
        <f t="shared" si="15"/>
        <v xml:space="preserve"> ,88</v>
      </c>
      <c r="T27" t="str">
        <f t="shared" si="15"/>
        <v/>
      </c>
      <c r="U27" t="str">
        <f t="shared" si="15"/>
        <v/>
      </c>
      <c r="V27" t="str">
        <f t="shared" si="15"/>
        <v/>
      </c>
      <c r="Z27" t="str">
        <f t="shared" si="10"/>
        <v>ROGERINHO</v>
      </c>
      <c r="AA27" t="str">
        <f t="shared" si="16"/>
        <v xml:space="preserve"> ,ROGERINHO</v>
      </c>
      <c r="AB27" t="str">
        <f t="shared" si="16"/>
        <v xml:space="preserve"> ,ARLON</v>
      </c>
      <c r="AC27" t="str">
        <f t="shared" si="16"/>
        <v xml:space="preserve"> ,CESAR</v>
      </c>
      <c r="AD27" t="str">
        <f t="shared" si="16"/>
        <v/>
      </c>
      <c r="AE27" t="str">
        <f t="shared" si="16"/>
        <v/>
      </c>
      <c r="AF27" t="str">
        <f t="shared" si="16"/>
        <v/>
      </c>
      <c r="AV27">
        <v>26</v>
      </c>
      <c r="AW27" t="s">
        <v>23</v>
      </c>
    </row>
    <row r="28" spans="1:49" ht="14.4">
      <c r="A28" s="9">
        <v>27</v>
      </c>
      <c r="B28" s="9" t="s">
        <v>323</v>
      </c>
      <c r="C28" s="10">
        <v>2032803585</v>
      </c>
      <c r="D28" s="9" t="s">
        <v>280</v>
      </c>
      <c r="E28" s="9">
        <f>COUNTIF($C$1:C28,C28)</f>
        <v>2</v>
      </c>
      <c r="F28" s="9" t="str">
        <f t="shared" si="3"/>
        <v>20328035852</v>
      </c>
      <c r="G28" s="9">
        <f t="shared" si="11"/>
        <v>1</v>
      </c>
      <c r="H28" s="9">
        <f t="shared" si="4"/>
        <v>0</v>
      </c>
      <c r="I28" s="2">
        <v>2039483635</v>
      </c>
      <c r="J28" s="3">
        <f t="shared" si="5"/>
        <v>2</v>
      </c>
      <c r="K28" s="3">
        <f t="shared" si="12"/>
        <v>0</v>
      </c>
      <c r="L28" s="3" t="e">
        <f t="shared" ca="1" si="6"/>
        <v>#NAME?</v>
      </c>
      <c r="M28" s="3" t="e">
        <f t="shared" ca="1" si="7"/>
        <v>#NAME?</v>
      </c>
      <c r="N28">
        <f t="shared" si="8"/>
        <v>2</v>
      </c>
      <c r="P28">
        <f t="shared" si="9"/>
        <v>37</v>
      </c>
      <c r="Q28" t="str">
        <f t="shared" si="15"/>
        <v xml:space="preserve"> ,52</v>
      </c>
      <c r="R28" t="str">
        <f t="shared" si="15"/>
        <v/>
      </c>
      <c r="S28" t="str">
        <f t="shared" si="15"/>
        <v/>
      </c>
      <c r="T28" t="str">
        <f t="shared" si="15"/>
        <v/>
      </c>
      <c r="U28" t="str">
        <f t="shared" si="15"/>
        <v/>
      </c>
      <c r="V28" t="str">
        <f t="shared" si="15"/>
        <v/>
      </c>
      <c r="Z28" t="str">
        <f t="shared" si="10"/>
        <v>MARTINS</v>
      </c>
      <c r="AA28" t="str">
        <f t="shared" si="16"/>
        <v xml:space="preserve"> ,MARTINS</v>
      </c>
      <c r="AB28" t="str">
        <f t="shared" si="16"/>
        <v/>
      </c>
      <c r="AC28" t="str">
        <f t="shared" si="16"/>
        <v/>
      </c>
      <c r="AD28" t="str">
        <f t="shared" si="16"/>
        <v/>
      </c>
      <c r="AE28" t="str">
        <f t="shared" si="16"/>
        <v/>
      </c>
      <c r="AF28" t="str">
        <f t="shared" si="16"/>
        <v/>
      </c>
      <c r="AV28">
        <v>27</v>
      </c>
      <c r="AW28" t="s">
        <v>19</v>
      </c>
    </row>
    <row r="29" spans="1:49" ht="14.4">
      <c r="A29" s="9">
        <v>28</v>
      </c>
      <c r="B29" s="9" t="s">
        <v>24</v>
      </c>
      <c r="C29" s="10">
        <v>2033607352</v>
      </c>
      <c r="D29" s="9" t="s">
        <v>282</v>
      </c>
      <c r="E29" s="9">
        <f>COUNTIF($C$1:C29,C29)</f>
        <v>1</v>
      </c>
      <c r="F29" s="9" t="str">
        <f t="shared" si="3"/>
        <v>20336073521</v>
      </c>
      <c r="G29" s="9">
        <f t="shared" si="11"/>
        <v>0</v>
      </c>
      <c r="H29" s="9">
        <f t="shared" si="4"/>
        <v>0</v>
      </c>
      <c r="I29" s="4">
        <v>2038566452</v>
      </c>
      <c r="J29" s="5">
        <f t="shared" si="5"/>
        <v>1</v>
      </c>
      <c r="K29" s="5">
        <f t="shared" si="12"/>
        <v>0</v>
      </c>
      <c r="L29" s="5" t="e">
        <f t="shared" ca="1" si="6"/>
        <v>#NAME?</v>
      </c>
      <c r="M29" s="5" t="e">
        <f t="shared" ca="1" si="7"/>
        <v>#NAME?</v>
      </c>
      <c r="N29">
        <f t="shared" si="8"/>
        <v>1</v>
      </c>
      <c r="P29">
        <f t="shared" si="9"/>
        <v>39</v>
      </c>
      <c r="Q29" t="str">
        <f t="shared" si="15"/>
        <v/>
      </c>
      <c r="R29" t="str">
        <f t="shared" si="15"/>
        <v/>
      </c>
      <c r="S29" t="str">
        <f t="shared" si="15"/>
        <v/>
      </c>
      <c r="T29" t="str">
        <f t="shared" si="15"/>
        <v/>
      </c>
      <c r="U29" t="str">
        <f t="shared" si="15"/>
        <v/>
      </c>
      <c r="V29" t="str">
        <f t="shared" si="15"/>
        <v/>
      </c>
      <c r="Z29" t="str">
        <f t="shared" si="10"/>
        <v>SANZIO</v>
      </c>
      <c r="AA29" t="str">
        <f t="shared" si="16"/>
        <v/>
      </c>
      <c r="AB29" t="str">
        <f t="shared" si="16"/>
        <v/>
      </c>
      <c r="AC29" t="str">
        <f t="shared" si="16"/>
        <v/>
      </c>
      <c r="AD29" t="str">
        <f t="shared" si="16"/>
        <v/>
      </c>
      <c r="AE29" t="str">
        <f t="shared" si="16"/>
        <v/>
      </c>
      <c r="AF29" t="str">
        <f t="shared" si="16"/>
        <v/>
      </c>
      <c r="AV29">
        <v>28</v>
      </c>
      <c r="AW29" t="s">
        <v>24</v>
      </c>
    </row>
    <row r="30" spans="1:49" ht="14.4">
      <c r="A30" s="9">
        <v>29</v>
      </c>
      <c r="B30" s="9" t="s">
        <v>20</v>
      </c>
      <c r="C30" s="10">
        <v>2033490246</v>
      </c>
      <c r="D30" s="9" t="s">
        <v>280</v>
      </c>
      <c r="E30" s="9">
        <f>COUNTIF($C$1:C30,C30)</f>
        <v>2</v>
      </c>
      <c r="F30" s="9" t="str">
        <f t="shared" si="3"/>
        <v>20334902462</v>
      </c>
      <c r="G30" s="9">
        <f t="shared" si="11"/>
        <v>1</v>
      </c>
      <c r="H30" s="9">
        <f t="shared" si="4"/>
        <v>0</v>
      </c>
      <c r="I30" s="2">
        <v>2033606365</v>
      </c>
      <c r="J30" s="3">
        <f t="shared" si="5"/>
        <v>1</v>
      </c>
      <c r="K30" s="3">
        <f t="shared" si="12"/>
        <v>0</v>
      </c>
      <c r="L30" s="3" t="e">
        <f t="shared" ca="1" si="6"/>
        <v>#NAME?</v>
      </c>
      <c r="M30" s="3" t="e">
        <f t="shared" ca="1" si="7"/>
        <v>#NAME?</v>
      </c>
      <c r="N30">
        <f t="shared" si="8"/>
        <v>1</v>
      </c>
      <c r="P30">
        <f t="shared" si="9"/>
        <v>40</v>
      </c>
      <c r="Q30" t="str">
        <f t="shared" si="15"/>
        <v/>
      </c>
      <c r="R30" t="str">
        <f t="shared" si="15"/>
        <v/>
      </c>
      <c r="S30" t="str">
        <f t="shared" si="15"/>
        <v/>
      </c>
      <c r="T30" t="str">
        <f t="shared" si="15"/>
        <v/>
      </c>
      <c r="U30" t="str">
        <f t="shared" si="15"/>
        <v/>
      </c>
      <c r="V30" t="str">
        <f t="shared" si="15"/>
        <v/>
      </c>
      <c r="Z30" t="str">
        <f t="shared" si="10"/>
        <v>MARCELAO</v>
      </c>
      <c r="AA30" t="str">
        <f t="shared" si="16"/>
        <v/>
      </c>
      <c r="AB30" t="str">
        <f t="shared" si="16"/>
        <v/>
      </c>
      <c r="AC30" t="str">
        <f t="shared" si="16"/>
        <v/>
      </c>
      <c r="AD30" t="str">
        <f t="shared" si="16"/>
        <v/>
      </c>
      <c r="AE30" t="str">
        <f t="shared" si="16"/>
        <v/>
      </c>
      <c r="AF30" t="str">
        <f t="shared" si="16"/>
        <v/>
      </c>
      <c r="AV30">
        <v>29</v>
      </c>
      <c r="AW30" t="s">
        <v>20</v>
      </c>
    </row>
    <row r="31" spans="1:49" ht="14.4">
      <c r="A31" s="9">
        <v>30</v>
      </c>
      <c r="B31" s="9" t="s">
        <v>25</v>
      </c>
      <c r="C31" s="10">
        <v>5511997219288</v>
      </c>
      <c r="D31" s="9" t="s">
        <v>280</v>
      </c>
      <c r="E31" s="9">
        <f>COUNTIF($C$1:C31,C31)</f>
        <v>1</v>
      </c>
      <c r="F31" s="9" t="str">
        <f t="shared" si="3"/>
        <v>55119972192881</v>
      </c>
      <c r="G31" s="9">
        <f t="shared" si="11"/>
        <v>0</v>
      </c>
      <c r="H31" s="9">
        <f t="shared" si="4"/>
        <v>0</v>
      </c>
      <c r="I31" s="4">
        <v>4753621811</v>
      </c>
      <c r="J31" s="5">
        <f t="shared" si="5"/>
        <v>2</v>
      </c>
      <c r="K31" s="5">
        <f t="shared" si="12"/>
        <v>0</v>
      </c>
      <c r="L31" s="5" t="e">
        <f t="shared" ca="1" si="6"/>
        <v>#NAME?</v>
      </c>
      <c r="M31" s="5" t="e">
        <f t="shared" ca="1" si="7"/>
        <v>#NAME?</v>
      </c>
      <c r="N31">
        <f t="shared" si="8"/>
        <v>2</v>
      </c>
      <c r="P31">
        <f t="shared" si="9"/>
        <v>41</v>
      </c>
      <c r="Q31" t="str">
        <f t="shared" si="15"/>
        <v xml:space="preserve"> ,50</v>
      </c>
      <c r="R31" t="str">
        <f t="shared" si="15"/>
        <v/>
      </c>
      <c r="S31" t="str">
        <f t="shared" si="15"/>
        <v/>
      </c>
      <c r="T31" t="str">
        <f t="shared" si="15"/>
        <v/>
      </c>
      <c r="U31" t="str">
        <f t="shared" si="15"/>
        <v/>
      </c>
      <c r="V31" t="str">
        <f t="shared" si="15"/>
        <v/>
      </c>
      <c r="Z31" t="str">
        <f t="shared" si="10"/>
        <v>SIMONE</v>
      </c>
      <c r="AA31" t="str">
        <f t="shared" si="16"/>
        <v xml:space="preserve"> ,SIMONE</v>
      </c>
      <c r="AB31" t="str">
        <f t="shared" si="16"/>
        <v/>
      </c>
      <c r="AC31" t="str">
        <f t="shared" si="16"/>
        <v/>
      </c>
      <c r="AD31" t="str">
        <f t="shared" si="16"/>
        <v/>
      </c>
      <c r="AE31" t="str">
        <f t="shared" si="16"/>
        <v/>
      </c>
      <c r="AF31" t="str">
        <f t="shared" si="16"/>
        <v/>
      </c>
      <c r="AV31">
        <v>30</v>
      </c>
      <c r="AW31" t="s">
        <v>25</v>
      </c>
    </row>
    <row r="32" spans="1:49" ht="14.4">
      <c r="A32" s="9">
        <v>31</v>
      </c>
      <c r="B32" s="9" t="s">
        <v>26</v>
      </c>
      <c r="C32" s="10">
        <v>2038731605</v>
      </c>
      <c r="D32" s="9" t="s">
        <v>280</v>
      </c>
      <c r="E32" s="9">
        <f>COUNTIF($C$1:C32,C32)</f>
        <v>1</v>
      </c>
      <c r="F32" s="9" t="str">
        <f t="shared" si="3"/>
        <v>20387316051</v>
      </c>
      <c r="G32" s="9">
        <f t="shared" si="11"/>
        <v>0</v>
      </c>
      <c r="H32" s="9">
        <f t="shared" si="4"/>
        <v>0</v>
      </c>
      <c r="I32" s="2">
        <v>4759884337</v>
      </c>
      <c r="J32" s="3">
        <f t="shared" si="5"/>
        <v>1</v>
      </c>
      <c r="K32" s="3">
        <f t="shared" si="12"/>
        <v>0</v>
      </c>
      <c r="L32" s="3" t="e">
        <f t="shared" ca="1" si="6"/>
        <v>#NAME?</v>
      </c>
      <c r="M32" s="3" t="e">
        <f t="shared" ca="1" si="7"/>
        <v>#NAME?</v>
      </c>
      <c r="N32">
        <f t="shared" si="8"/>
        <v>1</v>
      </c>
      <c r="P32">
        <f t="shared" si="9"/>
        <v>42</v>
      </c>
      <c r="Q32" t="str">
        <f t="shared" ref="Q32:V41" si="17">IFERROR(" ,"&amp;INDEX($A$2:$A$501,MATCH($I32&amp;Q$1,$F$2:$F$501,0)),"")</f>
        <v/>
      </c>
      <c r="R32" t="str">
        <f t="shared" si="17"/>
        <v/>
      </c>
      <c r="S32" t="str">
        <f t="shared" si="17"/>
        <v/>
      </c>
      <c r="T32" t="str">
        <f t="shared" si="17"/>
        <v/>
      </c>
      <c r="U32" t="str">
        <f t="shared" si="17"/>
        <v/>
      </c>
      <c r="V32" t="str">
        <f t="shared" si="17"/>
        <v/>
      </c>
      <c r="Z32" t="str">
        <f t="shared" si="10"/>
        <v>ALESSANDRO BARBOSA (LEO BAIA)</v>
      </c>
      <c r="AA32" t="str">
        <f t="shared" ref="AA32:AF41" si="18">IFERROR(" ,"&amp;INDEX($B$2:$B$501,MATCH($I32&amp;AA$1,$F$2:$F$501,0)),"")</f>
        <v/>
      </c>
      <c r="AB32" t="str">
        <f t="shared" si="18"/>
        <v/>
      </c>
      <c r="AC32" t="str">
        <f t="shared" si="18"/>
        <v/>
      </c>
      <c r="AD32" t="str">
        <f t="shared" si="18"/>
        <v/>
      </c>
      <c r="AE32" t="str">
        <f t="shared" si="18"/>
        <v/>
      </c>
      <c r="AF32" t="str">
        <f t="shared" si="18"/>
        <v/>
      </c>
      <c r="AV32">
        <v>31</v>
      </c>
      <c r="AW32" t="s">
        <v>26</v>
      </c>
    </row>
    <row r="33" spans="1:49">
      <c r="A33" s="9">
        <v>32</v>
      </c>
      <c r="B33" s="9" t="s">
        <v>27</v>
      </c>
      <c r="C33" s="10"/>
      <c r="D33" s="9" t="s">
        <v>281</v>
      </c>
      <c r="E33" s="9">
        <f>COUNTIF($C$1:C33,C33)</f>
        <v>0</v>
      </c>
      <c r="F33" s="9" t="str">
        <f t="shared" si="3"/>
        <v>0</v>
      </c>
      <c r="G33" s="9">
        <f t="shared" si="11"/>
        <v>0</v>
      </c>
      <c r="H33" s="9">
        <f t="shared" si="4"/>
        <v>0</v>
      </c>
      <c r="I33" s="4">
        <v>5511992712403</v>
      </c>
      <c r="J33" s="5">
        <f t="shared" si="5"/>
        <v>1</v>
      </c>
      <c r="K33" s="5">
        <f t="shared" si="12"/>
        <v>0</v>
      </c>
      <c r="L33" s="5" t="e">
        <f t="shared" ca="1" si="6"/>
        <v>#NAME?</v>
      </c>
      <c r="M33" s="5" t="e">
        <f t="shared" ca="1" si="7"/>
        <v>#NAME?</v>
      </c>
      <c r="N33">
        <f t="shared" si="8"/>
        <v>1</v>
      </c>
      <c r="P33">
        <f t="shared" si="9"/>
        <v>43</v>
      </c>
      <c r="Q33" t="str">
        <f t="shared" si="17"/>
        <v/>
      </c>
      <c r="R33" t="str">
        <f t="shared" si="17"/>
        <v/>
      </c>
      <c r="S33" t="str">
        <f t="shared" si="17"/>
        <v/>
      </c>
      <c r="T33" t="str">
        <f t="shared" si="17"/>
        <v/>
      </c>
      <c r="U33" t="str">
        <f t="shared" si="17"/>
        <v/>
      </c>
      <c r="V33" t="str">
        <f t="shared" si="17"/>
        <v/>
      </c>
      <c r="Z33" t="str">
        <f t="shared" si="10"/>
        <v>IGOR</v>
      </c>
      <c r="AA33" t="str">
        <f t="shared" si="18"/>
        <v/>
      </c>
      <c r="AB33" t="str">
        <f t="shared" si="18"/>
        <v/>
      </c>
      <c r="AC33" t="str">
        <f t="shared" si="18"/>
        <v/>
      </c>
      <c r="AD33" t="str">
        <f t="shared" si="18"/>
        <v/>
      </c>
      <c r="AE33" t="str">
        <f t="shared" si="18"/>
        <v/>
      </c>
      <c r="AF33" t="str">
        <f t="shared" si="18"/>
        <v/>
      </c>
      <c r="AV33">
        <v>32</v>
      </c>
      <c r="AW33" t="s">
        <v>27</v>
      </c>
    </row>
    <row r="34" spans="1:49" ht="14.4" hidden="1">
      <c r="A34" s="9">
        <v>33</v>
      </c>
      <c r="B34" s="9" t="s">
        <v>316</v>
      </c>
      <c r="C34" s="10">
        <v>2035595696</v>
      </c>
      <c r="D34" s="9" t="s">
        <v>280</v>
      </c>
      <c r="E34" s="9">
        <f>COUNTIF($C$1:C34,C34)</f>
        <v>1</v>
      </c>
      <c r="F34" s="9" t="str">
        <f t="shared" si="3"/>
        <v>20355956961</v>
      </c>
      <c r="G34" s="9">
        <f t="shared" si="11"/>
        <v>1</v>
      </c>
      <c r="H34" s="9">
        <f t="shared" si="4"/>
        <v>0</v>
      </c>
      <c r="I34" s="2">
        <v>2038185657</v>
      </c>
      <c r="J34" s="3">
        <f t="shared" si="5"/>
        <v>2</v>
      </c>
      <c r="K34" s="3">
        <f t="shared" si="12"/>
        <v>2</v>
      </c>
      <c r="L34" s="3" t="e">
        <f t="shared" ca="1" si="6"/>
        <v>#NAME?</v>
      </c>
      <c r="M34" s="3" t="e">
        <f t="shared" ca="1" si="7"/>
        <v>#NAME?</v>
      </c>
      <c r="N34">
        <f t="shared" si="8"/>
        <v>0</v>
      </c>
      <c r="P34">
        <f t="shared" si="9"/>
        <v>46</v>
      </c>
      <c r="Q34" t="str">
        <f t="shared" si="17"/>
        <v xml:space="preserve"> ,110</v>
      </c>
      <c r="R34" t="str">
        <f t="shared" si="17"/>
        <v/>
      </c>
      <c r="S34" t="str">
        <f t="shared" si="17"/>
        <v/>
      </c>
      <c r="T34" t="str">
        <f t="shared" si="17"/>
        <v/>
      </c>
      <c r="U34" t="str">
        <f t="shared" si="17"/>
        <v/>
      </c>
      <c r="V34" t="str">
        <f t="shared" si="17"/>
        <v/>
      </c>
      <c r="Z34" t="str">
        <f t="shared" si="10"/>
        <v>JESSICA pg</v>
      </c>
      <c r="AA34" t="str">
        <f t="shared" si="18"/>
        <v xml:space="preserve"> ,JESSICA pg</v>
      </c>
      <c r="AB34" t="str">
        <f t="shared" si="18"/>
        <v/>
      </c>
      <c r="AC34" t="str">
        <f t="shared" si="18"/>
        <v/>
      </c>
      <c r="AD34" t="str">
        <f t="shared" si="18"/>
        <v/>
      </c>
      <c r="AE34" t="str">
        <f t="shared" si="18"/>
        <v/>
      </c>
      <c r="AF34" t="str">
        <f t="shared" si="18"/>
        <v/>
      </c>
      <c r="AV34">
        <v>33</v>
      </c>
      <c r="AW34" t="s">
        <v>28</v>
      </c>
    </row>
    <row r="35" spans="1:49" ht="14.4">
      <c r="A35" s="9">
        <v>34</v>
      </c>
      <c r="B35" s="9" t="s">
        <v>29</v>
      </c>
      <c r="C35" s="10">
        <v>2039534887</v>
      </c>
      <c r="D35" s="9" t="s">
        <v>280</v>
      </c>
      <c r="E35" s="9">
        <f>COUNTIF($C$1:C35,C35)</f>
        <v>1</v>
      </c>
      <c r="F35" s="9" t="str">
        <f t="shared" si="3"/>
        <v>20395348871</v>
      </c>
      <c r="G35" s="9">
        <f t="shared" si="11"/>
        <v>1</v>
      </c>
      <c r="H35" s="9">
        <f t="shared" si="4"/>
        <v>0</v>
      </c>
      <c r="I35" s="4">
        <v>2032122279</v>
      </c>
      <c r="J35" s="5">
        <f t="shared" si="5"/>
        <v>3</v>
      </c>
      <c r="K35" s="5">
        <f t="shared" si="12"/>
        <v>0</v>
      </c>
      <c r="L35" s="5" t="e">
        <f t="shared" ca="1" si="6"/>
        <v>#NAME?</v>
      </c>
      <c r="M35" s="5" t="e">
        <f t="shared" ca="1" si="7"/>
        <v>#NAME?</v>
      </c>
      <c r="N35">
        <f t="shared" si="8"/>
        <v>3</v>
      </c>
      <c r="P35">
        <f t="shared" si="9"/>
        <v>47</v>
      </c>
      <c r="Q35" t="str">
        <f t="shared" si="17"/>
        <v xml:space="preserve"> ,470</v>
      </c>
      <c r="R35" t="str">
        <f t="shared" si="17"/>
        <v xml:space="preserve"> ,478</v>
      </c>
      <c r="S35" t="str">
        <f t="shared" si="17"/>
        <v/>
      </c>
      <c r="T35" t="str">
        <f t="shared" si="17"/>
        <v/>
      </c>
      <c r="U35" t="str">
        <f t="shared" si="17"/>
        <v/>
      </c>
      <c r="V35" t="str">
        <f t="shared" si="17"/>
        <v/>
      </c>
      <c r="Z35" t="str">
        <f t="shared" si="10"/>
        <v>JEREMIAS COSTA</v>
      </c>
      <c r="AA35" t="str">
        <f t="shared" si="18"/>
        <v xml:space="preserve"> ,JEREMIAS COSTA</v>
      </c>
      <c r="AB35" t="str">
        <f t="shared" si="18"/>
        <v xml:space="preserve"> ,JEREMIAS COSTA</v>
      </c>
      <c r="AC35" t="str">
        <f t="shared" si="18"/>
        <v/>
      </c>
      <c r="AD35" t="str">
        <f t="shared" si="18"/>
        <v/>
      </c>
      <c r="AE35" t="str">
        <f t="shared" si="18"/>
        <v/>
      </c>
      <c r="AF35" t="str">
        <f t="shared" si="18"/>
        <v/>
      </c>
      <c r="AV35">
        <v>34</v>
      </c>
      <c r="AW35" t="s">
        <v>29</v>
      </c>
    </row>
    <row r="36" spans="1:49" ht="14.4">
      <c r="A36" s="9">
        <v>35</v>
      </c>
      <c r="B36" s="9" t="s">
        <v>30</v>
      </c>
      <c r="C36" s="10">
        <v>2032437348</v>
      </c>
      <c r="D36" s="9" t="s">
        <v>280</v>
      </c>
      <c r="E36" s="9">
        <f>COUNTIF($C$1:C36,C36)</f>
        <v>1</v>
      </c>
      <c r="F36" s="9" t="str">
        <f t="shared" si="3"/>
        <v>20324373481</v>
      </c>
      <c r="G36" s="9">
        <f t="shared" si="11"/>
        <v>0</v>
      </c>
      <c r="H36" s="9">
        <f t="shared" si="4"/>
        <v>0</v>
      </c>
      <c r="I36" s="2">
        <v>2038148765</v>
      </c>
      <c r="J36" s="3">
        <f t="shared" si="5"/>
        <v>1</v>
      </c>
      <c r="K36" s="3">
        <f t="shared" si="12"/>
        <v>0</v>
      </c>
      <c r="L36" s="3" t="e">
        <f t="shared" ca="1" si="6"/>
        <v>#NAME?</v>
      </c>
      <c r="M36" s="3" t="e">
        <f t="shared" ca="1" si="7"/>
        <v>#NAME?</v>
      </c>
      <c r="N36">
        <f t="shared" si="8"/>
        <v>1</v>
      </c>
      <c r="P36">
        <f t="shared" si="9"/>
        <v>48</v>
      </c>
      <c r="Q36" t="str">
        <f t="shared" si="17"/>
        <v/>
      </c>
      <c r="R36" t="str">
        <f t="shared" si="17"/>
        <v/>
      </c>
      <c r="S36" t="str">
        <f t="shared" si="17"/>
        <v/>
      </c>
      <c r="T36" t="str">
        <f t="shared" si="17"/>
        <v/>
      </c>
      <c r="U36" t="str">
        <f t="shared" si="17"/>
        <v/>
      </c>
      <c r="V36" t="str">
        <f t="shared" si="17"/>
        <v/>
      </c>
      <c r="Z36" t="str">
        <f t="shared" si="10"/>
        <v>MARCIO CARVALHO</v>
      </c>
      <c r="AA36" t="str">
        <f t="shared" si="18"/>
        <v/>
      </c>
      <c r="AB36" t="str">
        <f t="shared" si="18"/>
        <v/>
      </c>
      <c r="AC36" t="str">
        <f t="shared" si="18"/>
        <v/>
      </c>
      <c r="AD36" t="str">
        <f t="shared" si="18"/>
        <v/>
      </c>
      <c r="AE36" t="str">
        <f t="shared" si="18"/>
        <v/>
      </c>
      <c r="AF36" t="str">
        <f t="shared" si="18"/>
        <v/>
      </c>
      <c r="AV36">
        <v>35</v>
      </c>
      <c r="AW36" t="s">
        <v>30</v>
      </c>
    </row>
    <row r="37" spans="1:49" ht="14.4">
      <c r="A37" s="9">
        <v>36</v>
      </c>
      <c r="B37" s="9" t="s">
        <v>31</v>
      </c>
      <c r="C37" s="10">
        <v>2035158719</v>
      </c>
      <c r="D37" s="9" t="s">
        <v>280</v>
      </c>
      <c r="E37" s="9">
        <f>COUNTIF($C$1:C37,C37)</f>
        <v>1</v>
      </c>
      <c r="F37" s="9" t="str">
        <f t="shared" si="3"/>
        <v>20351587191</v>
      </c>
      <c r="G37" s="9">
        <f t="shared" si="11"/>
        <v>0</v>
      </c>
      <c r="H37" s="9">
        <f t="shared" si="4"/>
        <v>0</v>
      </c>
      <c r="I37" s="4">
        <v>2036679981</v>
      </c>
      <c r="J37" s="5">
        <f t="shared" si="5"/>
        <v>1</v>
      </c>
      <c r="K37" s="5">
        <f t="shared" si="12"/>
        <v>0</v>
      </c>
      <c r="L37" s="5" t="e">
        <f t="shared" ca="1" si="6"/>
        <v>#NAME?</v>
      </c>
      <c r="M37" s="5" t="e">
        <f t="shared" ca="1" si="7"/>
        <v>#NAME?</v>
      </c>
      <c r="N37">
        <f t="shared" si="8"/>
        <v>1</v>
      </c>
      <c r="P37">
        <f t="shared" si="9"/>
        <v>49</v>
      </c>
      <c r="Q37" t="str">
        <f t="shared" si="17"/>
        <v/>
      </c>
      <c r="R37" t="str">
        <f t="shared" si="17"/>
        <v/>
      </c>
      <c r="S37" t="str">
        <f t="shared" si="17"/>
        <v/>
      </c>
      <c r="T37" t="str">
        <f t="shared" si="17"/>
        <v/>
      </c>
      <c r="U37" t="str">
        <f t="shared" si="17"/>
        <v/>
      </c>
      <c r="V37" t="str">
        <f t="shared" si="17"/>
        <v/>
      </c>
      <c r="Z37" t="str">
        <f t="shared" si="10"/>
        <v>RENE</v>
      </c>
      <c r="AA37" t="str">
        <f t="shared" si="18"/>
        <v/>
      </c>
      <c r="AB37" t="str">
        <f t="shared" si="18"/>
        <v/>
      </c>
      <c r="AC37" t="str">
        <f t="shared" si="18"/>
        <v/>
      </c>
      <c r="AD37" t="str">
        <f t="shared" si="18"/>
        <v/>
      </c>
      <c r="AE37" t="str">
        <f t="shared" si="18"/>
        <v/>
      </c>
      <c r="AF37" t="str">
        <f t="shared" si="18"/>
        <v/>
      </c>
      <c r="AV37">
        <v>36</v>
      </c>
      <c r="AW37" t="s">
        <v>31</v>
      </c>
    </row>
    <row r="38" spans="1:49" ht="14.4" hidden="1">
      <c r="A38" s="9">
        <v>37</v>
      </c>
      <c r="B38" s="9" t="s">
        <v>32</v>
      </c>
      <c r="C38" s="10">
        <v>2039483635</v>
      </c>
      <c r="D38" s="9" t="s">
        <v>280</v>
      </c>
      <c r="E38" s="9">
        <f>COUNTIF($C$1:C38,C38)</f>
        <v>1</v>
      </c>
      <c r="F38" s="9" t="str">
        <f t="shared" si="3"/>
        <v>20394836351</v>
      </c>
      <c r="G38" s="9">
        <f t="shared" si="11"/>
        <v>0</v>
      </c>
      <c r="H38" s="9">
        <f t="shared" si="4"/>
        <v>0</v>
      </c>
      <c r="I38" s="2">
        <v>9144399667</v>
      </c>
      <c r="J38" s="3">
        <f t="shared" si="5"/>
        <v>2</v>
      </c>
      <c r="K38" s="3">
        <f t="shared" si="12"/>
        <v>2</v>
      </c>
      <c r="L38" s="3" t="e">
        <f t="shared" ca="1" si="6"/>
        <v>#NAME?</v>
      </c>
      <c r="M38" s="3" t="e">
        <f t="shared" ca="1" si="7"/>
        <v>#NAME?</v>
      </c>
      <c r="N38">
        <f t="shared" si="8"/>
        <v>0</v>
      </c>
      <c r="P38">
        <f t="shared" si="9"/>
        <v>53</v>
      </c>
      <c r="Q38" t="str">
        <f t="shared" si="17"/>
        <v xml:space="preserve"> ,65</v>
      </c>
      <c r="R38" t="str">
        <f t="shared" si="17"/>
        <v/>
      </c>
      <c r="S38" t="str">
        <f t="shared" si="17"/>
        <v/>
      </c>
      <c r="T38" t="str">
        <f t="shared" si="17"/>
        <v/>
      </c>
      <c r="U38" t="str">
        <f t="shared" si="17"/>
        <v/>
      </c>
      <c r="V38" t="str">
        <f t="shared" si="17"/>
        <v/>
      </c>
      <c r="Z38" t="str">
        <f t="shared" si="10"/>
        <v>ALAN KARLA pg</v>
      </c>
      <c r="AA38" t="str">
        <f t="shared" si="18"/>
        <v xml:space="preserve"> ,ALAN KARLA pg</v>
      </c>
      <c r="AB38" t="str">
        <f t="shared" si="18"/>
        <v/>
      </c>
      <c r="AC38" t="str">
        <f t="shared" si="18"/>
        <v/>
      </c>
      <c r="AD38" t="str">
        <f t="shared" si="18"/>
        <v/>
      </c>
      <c r="AE38" t="str">
        <f t="shared" si="18"/>
        <v/>
      </c>
      <c r="AF38" t="str">
        <f t="shared" si="18"/>
        <v/>
      </c>
      <c r="AV38">
        <v>37</v>
      </c>
      <c r="AW38" t="s">
        <v>32</v>
      </c>
    </row>
    <row r="39" spans="1:49" ht="14.4">
      <c r="A39" s="9">
        <v>38</v>
      </c>
      <c r="B39" s="9" t="s">
        <v>22</v>
      </c>
      <c r="C39" s="10">
        <v>2039538965</v>
      </c>
      <c r="D39" s="9" t="s">
        <v>280</v>
      </c>
      <c r="E39" s="9">
        <f>COUNTIF($C$1:C39,C39)</f>
        <v>2</v>
      </c>
      <c r="F39" s="9" t="str">
        <f t="shared" si="3"/>
        <v>20395389652</v>
      </c>
      <c r="G39" s="9">
        <f t="shared" si="11"/>
        <v>0</v>
      </c>
      <c r="H39" s="9">
        <f t="shared" si="4"/>
        <v>0</v>
      </c>
      <c r="I39" s="4">
        <v>2039237387</v>
      </c>
      <c r="J39" s="5">
        <f t="shared" si="5"/>
        <v>3</v>
      </c>
      <c r="K39" s="5">
        <f t="shared" si="12"/>
        <v>0</v>
      </c>
      <c r="L39" s="5" t="e">
        <f t="shared" ca="1" si="6"/>
        <v>#NAME?</v>
      </c>
      <c r="M39" s="5" t="e">
        <f t="shared" ca="1" si="7"/>
        <v>#NAME?</v>
      </c>
      <c r="N39">
        <f t="shared" si="8"/>
        <v>3</v>
      </c>
      <c r="P39">
        <f t="shared" si="9"/>
        <v>56</v>
      </c>
      <c r="Q39" t="str">
        <f t="shared" si="17"/>
        <v xml:space="preserve"> ,126</v>
      </c>
      <c r="R39" t="str">
        <f t="shared" si="17"/>
        <v xml:space="preserve"> ,242</v>
      </c>
      <c r="S39" t="str">
        <f t="shared" si="17"/>
        <v/>
      </c>
      <c r="T39" t="str">
        <f t="shared" si="17"/>
        <v/>
      </c>
      <c r="U39" t="str">
        <f t="shared" si="17"/>
        <v/>
      </c>
      <c r="V39" t="str">
        <f t="shared" si="17"/>
        <v/>
      </c>
      <c r="Z39" t="str">
        <f t="shared" si="10"/>
        <v>LUCIANO</v>
      </c>
      <c r="AA39" t="str">
        <f t="shared" si="18"/>
        <v xml:space="preserve"> ,LUCIANO</v>
      </c>
      <c r="AB39" t="str">
        <f t="shared" si="18"/>
        <v xml:space="preserve"> ,LUCIANO</v>
      </c>
      <c r="AC39" t="str">
        <f t="shared" si="18"/>
        <v/>
      </c>
      <c r="AD39" t="str">
        <f t="shared" si="18"/>
        <v/>
      </c>
      <c r="AE39" t="str">
        <f t="shared" si="18"/>
        <v/>
      </c>
      <c r="AF39" t="str">
        <f t="shared" si="18"/>
        <v/>
      </c>
      <c r="AV39">
        <v>38</v>
      </c>
      <c r="AW39" t="s">
        <v>22</v>
      </c>
    </row>
    <row r="40" spans="1:49" ht="14.4">
      <c r="A40" s="9">
        <v>39</v>
      </c>
      <c r="B40" s="9" t="s">
        <v>33</v>
      </c>
      <c r="C40" s="10">
        <v>2038566452</v>
      </c>
      <c r="D40" s="9" t="s">
        <v>280</v>
      </c>
      <c r="E40" s="9">
        <f>COUNTIF($C$1:C40,C40)</f>
        <v>1</v>
      </c>
      <c r="F40" s="9" t="str">
        <f t="shared" si="3"/>
        <v>20385664521</v>
      </c>
      <c r="G40" s="9">
        <f t="shared" si="11"/>
        <v>0</v>
      </c>
      <c r="H40" s="9">
        <f t="shared" si="4"/>
        <v>0</v>
      </c>
      <c r="I40" s="2">
        <v>2032570853</v>
      </c>
      <c r="J40" s="3">
        <f t="shared" si="5"/>
        <v>1</v>
      </c>
      <c r="K40" s="3">
        <f t="shared" si="12"/>
        <v>0</v>
      </c>
      <c r="L40" s="3" t="e">
        <f t="shared" ca="1" si="6"/>
        <v>#NAME?</v>
      </c>
      <c r="M40" s="3" t="e">
        <f t="shared" ca="1" si="7"/>
        <v>#NAME?</v>
      </c>
      <c r="N40">
        <f t="shared" si="8"/>
        <v>1</v>
      </c>
      <c r="P40">
        <f t="shared" si="9"/>
        <v>58</v>
      </c>
      <c r="Q40" t="str">
        <f t="shared" si="17"/>
        <v/>
      </c>
      <c r="R40" t="str">
        <f t="shared" si="17"/>
        <v/>
      </c>
      <c r="S40" t="str">
        <f t="shared" si="17"/>
        <v/>
      </c>
      <c r="T40" t="str">
        <f t="shared" si="17"/>
        <v/>
      </c>
      <c r="U40" t="str">
        <f t="shared" si="17"/>
        <v/>
      </c>
      <c r="V40" t="str">
        <f t="shared" si="17"/>
        <v/>
      </c>
      <c r="Z40" t="str">
        <f t="shared" si="10"/>
        <v>MAZIM amigo cidmar</v>
      </c>
      <c r="AA40" t="str">
        <f t="shared" si="18"/>
        <v/>
      </c>
      <c r="AB40" t="str">
        <f t="shared" si="18"/>
        <v/>
      </c>
      <c r="AC40" t="str">
        <f t="shared" si="18"/>
        <v/>
      </c>
      <c r="AD40" t="str">
        <f t="shared" si="18"/>
        <v/>
      </c>
      <c r="AE40" t="str">
        <f t="shared" si="18"/>
        <v/>
      </c>
      <c r="AF40" t="str">
        <f t="shared" si="18"/>
        <v/>
      </c>
      <c r="AV40">
        <v>39</v>
      </c>
      <c r="AW40" t="s">
        <v>33</v>
      </c>
    </row>
    <row r="41" spans="1:49" ht="14.4">
      <c r="A41" s="9">
        <v>40</v>
      </c>
      <c r="B41" s="9" t="s">
        <v>34</v>
      </c>
      <c r="C41" s="10">
        <v>2033606365</v>
      </c>
      <c r="D41" s="9" t="s">
        <v>280</v>
      </c>
      <c r="E41" s="9">
        <f>COUNTIF($C$1:C41,C41)</f>
        <v>1</v>
      </c>
      <c r="F41" s="9" t="str">
        <f t="shared" si="3"/>
        <v>20336063651</v>
      </c>
      <c r="G41" s="9">
        <f t="shared" si="11"/>
        <v>0</v>
      </c>
      <c r="H41" s="9">
        <f t="shared" si="4"/>
        <v>0</v>
      </c>
      <c r="I41" s="4">
        <v>2038583797</v>
      </c>
      <c r="J41" s="5">
        <f t="shared" si="5"/>
        <v>1</v>
      </c>
      <c r="K41" s="5">
        <f t="shared" si="12"/>
        <v>0</v>
      </c>
      <c r="L41" s="5" t="e">
        <f t="shared" ca="1" si="6"/>
        <v>#NAME?</v>
      </c>
      <c r="M41" s="5" t="e">
        <f t="shared" ca="1" si="7"/>
        <v>#NAME?</v>
      </c>
      <c r="N41">
        <f t="shared" si="8"/>
        <v>1</v>
      </c>
      <c r="P41">
        <f t="shared" si="9"/>
        <v>59</v>
      </c>
      <c r="Q41" t="str">
        <f t="shared" si="17"/>
        <v/>
      </c>
      <c r="R41" t="str">
        <f t="shared" si="17"/>
        <v/>
      </c>
      <c r="S41" t="str">
        <f t="shared" si="17"/>
        <v/>
      </c>
      <c r="T41" t="str">
        <f t="shared" si="17"/>
        <v/>
      </c>
      <c r="U41" t="str">
        <f t="shared" si="17"/>
        <v/>
      </c>
      <c r="V41" t="str">
        <f t="shared" si="17"/>
        <v/>
      </c>
      <c r="Z41" t="str">
        <f t="shared" si="10"/>
        <v>ALMIR COSTA</v>
      </c>
      <c r="AA41" t="str">
        <f t="shared" si="18"/>
        <v/>
      </c>
      <c r="AB41" t="str">
        <f t="shared" si="18"/>
        <v/>
      </c>
      <c r="AC41" t="str">
        <f t="shared" si="18"/>
        <v/>
      </c>
      <c r="AD41" t="str">
        <f t="shared" si="18"/>
        <v/>
      </c>
      <c r="AE41" t="str">
        <f t="shared" si="18"/>
        <v/>
      </c>
      <c r="AF41" t="str">
        <f t="shared" si="18"/>
        <v/>
      </c>
      <c r="AV41">
        <v>40</v>
      </c>
      <c r="AW41" t="s">
        <v>34</v>
      </c>
    </row>
    <row r="42" spans="1:49" ht="14.4">
      <c r="A42" s="9">
        <v>41</v>
      </c>
      <c r="B42" s="9" t="s">
        <v>35</v>
      </c>
      <c r="C42" s="10">
        <v>4753621811</v>
      </c>
      <c r="D42" s="9" t="s">
        <v>280</v>
      </c>
      <c r="E42" s="9">
        <f>COUNTIF($C$1:C42,C42)</f>
        <v>1</v>
      </c>
      <c r="F42" s="9" t="str">
        <f t="shared" si="3"/>
        <v>47536218111</v>
      </c>
      <c r="G42" s="9">
        <f t="shared" si="11"/>
        <v>0</v>
      </c>
      <c r="H42" s="9">
        <f t="shared" si="4"/>
        <v>0</v>
      </c>
      <c r="I42" s="2">
        <v>2036105893</v>
      </c>
      <c r="J42" s="3">
        <f t="shared" si="5"/>
        <v>3</v>
      </c>
      <c r="K42" s="3">
        <f t="shared" si="12"/>
        <v>0</v>
      </c>
      <c r="L42" s="3" t="e">
        <f t="shared" ca="1" si="6"/>
        <v>#NAME?</v>
      </c>
      <c r="M42" s="3" t="e">
        <f t="shared" ca="1" si="7"/>
        <v>#NAME?</v>
      </c>
      <c r="N42">
        <f t="shared" si="8"/>
        <v>3</v>
      </c>
      <c r="P42">
        <f t="shared" si="9"/>
        <v>61</v>
      </c>
      <c r="Q42" t="str">
        <f t="shared" ref="Q42:V51" si="19">IFERROR(" ,"&amp;INDEX($A$2:$A$501,MATCH($I42&amp;Q$1,$F$2:$F$501,0)),"")</f>
        <v xml:space="preserve"> ,169</v>
      </c>
      <c r="R42" t="str">
        <f t="shared" si="19"/>
        <v xml:space="preserve"> ,450</v>
      </c>
      <c r="S42" t="str">
        <f t="shared" si="19"/>
        <v/>
      </c>
      <c r="T42" t="str">
        <f t="shared" si="19"/>
        <v/>
      </c>
      <c r="U42" t="str">
        <f t="shared" si="19"/>
        <v/>
      </c>
      <c r="V42" t="str">
        <f t="shared" si="19"/>
        <v/>
      </c>
      <c r="Z42" t="str">
        <f t="shared" si="10"/>
        <v>BRYAN DA SILVA /vagner</v>
      </c>
      <c r="AA42" t="str">
        <f t="shared" ref="AA42:AF51" si="20">IFERROR(" ,"&amp;INDEX($B$2:$B$501,MATCH($I42&amp;AA$1,$F$2:$F$501,0)),"")</f>
        <v xml:space="preserve"> ,WAGNER DA SILVA</v>
      </c>
      <c r="AB42" t="str">
        <f t="shared" si="20"/>
        <v xml:space="preserve"> ,DAVID DA SILVA</v>
      </c>
      <c r="AC42" t="str">
        <f t="shared" si="20"/>
        <v/>
      </c>
      <c r="AD42" t="str">
        <f t="shared" si="20"/>
        <v/>
      </c>
      <c r="AE42" t="str">
        <f t="shared" si="20"/>
        <v/>
      </c>
      <c r="AF42" t="str">
        <f t="shared" si="20"/>
        <v/>
      </c>
      <c r="AV42">
        <v>41</v>
      </c>
      <c r="AW42" t="s">
        <v>35</v>
      </c>
    </row>
    <row r="43" spans="1:49" ht="14.4">
      <c r="A43" s="9">
        <v>42</v>
      </c>
      <c r="B43" s="9" t="s">
        <v>36</v>
      </c>
      <c r="C43" s="10">
        <v>4759884337</v>
      </c>
      <c r="D43" s="9" t="s">
        <v>280</v>
      </c>
      <c r="E43" s="9">
        <f>COUNTIF($C$1:C43,C43)</f>
        <v>1</v>
      </c>
      <c r="F43" s="9" t="str">
        <f t="shared" si="3"/>
        <v>47598843371</v>
      </c>
      <c r="G43" s="9">
        <f t="shared" si="11"/>
        <v>0</v>
      </c>
      <c r="H43" s="9">
        <f t="shared" si="4"/>
        <v>0</v>
      </c>
      <c r="I43" s="4">
        <v>9147602272</v>
      </c>
      <c r="J43" s="5">
        <f t="shared" si="5"/>
        <v>7</v>
      </c>
      <c r="K43" s="5">
        <f t="shared" si="12"/>
        <v>3</v>
      </c>
      <c r="L43" s="5" t="e">
        <f t="shared" ca="1" si="6"/>
        <v>#NAME?</v>
      </c>
      <c r="M43" s="5" t="e">
        <f t="shared" ca="1" si="7"/>
        <v>#NAME?</v>
      </c>
      <c r="N43">
        <f t="shared" si="8"/>
        <v>4</v>
      </c>
      <c r="P43">
        <f t="shared" si="9"/>
        <v>63</v>
      </c>
      <c r="Q43" t="str">
        <f t="shared" si="19"/>
        <v xml:space="preserve"> ,64</v>
      </c>
      <c r="R43" t="str">
        <f t="shared" si="19"/>
        <v xml:space="preserve"> ,121</v>
      </c>
      <c r="S43" t="str">
        <f t="shared" si="19"/>
        <v xml:space="preserve"> ,128</v>
      </c>
      <c r="T43" t="str">
        <f t="shared" si="19"/>
        <v xml:space="preserve"> ,259</v>
      </c>
      <c r="U43" t="str">
        <f t="shared" si="19"/>
        <v xml:space="preserve"> ,379</v>
      </c>
      <c r="V43" t="str">
        <f t="shared" si="19"/>
        <v xml:space="preserve"> ,406</v>
      </c>
      <c r="Z43" t="str">
        <f t="shared" si="10"/>
        <v>DALTON pg</v>
      </c>
      <c r="AA43" t="str">
        <f t="shared" si="20"/>
        <v xml:space="preserve"> ,DALTON pg</v>
      </c>
      <c r="AB43" t="str">
        <f t="shared" si="20"/>
        <v xml:space="preserve"> ,DALTON pg</v>
      </c>
      <c r="AC43" t="str">
        <f t="shared" si="20"/>
        <v xml:space="preserve"> ,DALTON</v>
      </c>
      <c r="AD43" t="str">
        <f t="shared" si="20"/>
        <v xml:space="preserve"> ,Rafael Melo (Dalton)</v>
      </c>
      <c r="AE43" t="str">
        <f t="shared" si="20"/>
        <v xml:space="preserve"> ,DALNTON</v>
      </c>
      <c r="AF43" t="str">
        <f t="shared" si="20"/>
        <v xml:space="preserve"> ,Rafael Melo (Dalton)</v>
      </c>
      <c r="AV43">
        <v>42</v>
      </c>
      <c r="AW43" t="s">
        <v>36</v>
      </c>
    </row>
    <row r="44" spans="1:49" ht="14.4">
      <c r="A44" s="9">
        <v>43</v>
      </c>
      <c r="B44" s="9" t="s">
        <v>37</v>
      </c>
      <c r="C44" s="10">
        <v>5511992712403</v>
      </c>
      <c r="D44" s="9" t="s">
        <v>280</v>
      </c>
      <c r="E44" s="9">
        <f>COUNTIF($C$1:C44,C44)</f>
        <v>1</v>
      </c>
      <c r="F44" s="9" t="str">
        <f t="shared" si="3"/>
        <v>55119927124031</v>
      </c>
      <c r="G44" s="9">
        <f t="shared" si="11"/>
        <v>0</v>
      </c>
      <c r="H44" s="9">
        <f t="shared" si="4"/>
        <v>0</v>
      </c>
      <c r="I44" s="2">
        <v>6178661781</v>
      </c>
      <c r="J44" s="3">
        <f t="shared" si="5"/>
        <v>2</v>
      </c>
      <c r="K44" s="3">
        <f t="shared" si="12"/>
        <v>0</v>
      </c>
      <c r="L44" s="3" t="e">
        <f t="shared" ca="1" si="6"/>
        <v>#NAME?</v>
      </c>
      <c r="M44" s="3" t="e">
        <f t="shared" ca="1" si="7"/>
        <v>#NAME?</v>
      </c>
      <c r="N44">
        <f t="shared" si="8"/>
        <v>2</v>
      </c>
      <c r="P44">
        <f t="shared" si="9"/>
        <v>66</v>
      </c>
      <c r="Q44" t="str">
        <f t="shared" si="19"/>
        <v xml:space="preserve"> ,68</v>
      </c>
      <c r="R44" t="str">
        <f t="shared" si="19"/>
        <v/>
      </c>
      <c r="S44" t="str">
        <f t="shared" si="19"/>
        <v/>
      </c>
      <c r="T44" t="str">
        <f t="shared" si="19"/>
        <v/>
      </c>
      <c r="U44" t="str">
        <f t="shared" si="19"/>
        <v/>
      </c>
      <c r="V44" t="str">
        <f t="shared" si="19"/>
        <v/>
      </c>
      <c r="Z44" t="str">
        <f t="shared" si="10"/>
        <v>DANILO AMARAL</v>
      </c>
      <c r="AA44" t="str">
        <f t="shared" si="20"/>
        <v xml:space="preserve"> ,DANILO AMARAL</v>
      </c>
      <c r="AB44" t="str">
        <f t="shared" si="20"/>
        <v/>
      </c>
      <c r="AC44" t="str">
        <f t="shared" si="20"/>
        <v/>
      </c>
      <c r="AD44" t="str">
        <f t="shared" si="20"/>
        <v/>
      </c>
      <c r="AE44" t="str">
        <f t="shared" si="20"/>
        <v/>
      </c>
      <c r="AF44" t="str">
        <f t="shared" si="20"/>
        <v/>
      </c>
      <c r="AV44">
        <v>43</v>
      </c>
      <c r="AW44" t="s">
        <v>37</v>
      </c>
    </row>
    <row r="45" spans="1:49" ht="14.4">
      <c r="A45" s="9">
        <v>44</v>
      </c>
      <c r="B45" s="9" t="s">
        <v>38</v>
      </c>
      <c r="C45" s="10">
        <v>2033607352</v>
      </c>
      <c r="D45" s="9" t="s">
        <v>280</v>
      </c>
      <c r="E45" s="9">
        <f>COUNTIF($C$1:C45,C45)</f>
        <v>2</v>
      </c>
      <c r="F45" s="9" t="str">
        <f t="shared" si="3"/>
        <v>20336073522</v>
      </c>
      <c r="G45" s="9">
        <f t="shared" si="11"/>
        <v>0</v>
      </c>
      <c r="H45" s="9">
        <f t="shared" si="4"/>
        <v>0</v>
      </c>
      <c r="I45" s="4">
        <v>9144003667</v>
      </c>
      <c r="J45" s="5">
        <f t="shared" si="5"/>
        <v>2</v>
      </c>
      <c r="K45" s="5">
        <f t="shared" si="12"/>
        <v>0</v>
      </c>
      <c r="L45" s="5" t="e">
        <f t="shared" ca="1" si="6"/>
        <v>#NAME?</v>
      </c>
      <c r="M45" s="5" t="e">
        <f t="shared" ca="1" si="7"/>
        <v>#NAME?</v>
      </c>
      <c r="N45">
        <f t="shared" si="8"/>
        <v>2</v>
      </c>
      <c r="P45">
        <f t="shared" si="9"/>
        <v>73</v>
      </c>
      <c r="Q45" t="str">
        <f t="shared" si="19"/>
        <v xml:space="preserve"> ,205</v>
      </c>
      <c r="R45" t="str">
        <f t="shared" si="19"/>
        <v/>
      </c>
      <c r="S45" t="str">
        <f t="shared" si="19"/>
        <v/>
      </c>
      <c r="T45" t="str">
        <f t="shared" si="19"/>
        <v/>
      </c>
      <c r="U45" t="str">
        <f t="shared" si="19"/>
        <v/>
      </c>
      <c r="V45" t="str">
        <f t="shared" si="19"/>
        <v/>
      </c>
      <c r="Z45" t="str">
        <f t="shared" si="10"/>
        <v>ANDERSON JEFERSON</v>
      </c>
      <c r="AA45" t="str">
        <f t="shared" si="20"/>
        <v xml:space="preserve"> ,ANDERSON JEFERSON</v>
      </c>
      <c r="AB45" t="str">
        <f t="shared" si="20"/>
        <v/>
      </c>
      <c r="AC45" t="str">
        <f t="shared" si="20"/>
        <v/>
      </c>
      <c r="AD45" t="str">
        <f t="shared" si="20"/>
        <v/>
      </c>
      <c r="AE45" t="str">
        <f t="shared" si="20"/>
        <v/>
      </c>
      <c r="AF45" t="str">
        <f t="shared" si="20"/>
        <v/>
      </c>
      <c r="AV45">
        <v>44</v>
      </c>
      <c r="AW45" t="s">
        <v>38</v>
      </c>
    </row>
    <row r="46" spans="1:49">
      <c r="A46" s="9">
        <v>45</v>
      </c>
      <c r="B46" s="9" t="s">
        <v>23</v>
      </c>
      <c r="C46" s="10">
        <v>2039943998</v>
      </c>
      <c r="D46" s="9" t="s">
        <v>280</v>
      </c>
      <c r="E46" s="9">
        <f>COUNTIF($C$1:C46,C46)</f>
        <v>2</v>
      </c>
      <c r="F46" s="9" t="str">
        <f t="shared" si="3"/>
        <v>20399439982</v>
      </c>
      <c r="G46" s="9">
        <f t="shared" si="11"/>
        <v>0</v>
      </c>
      <c r="H46" s="9">
        <f t="shared" si="4"/>
        <v>0</v>
      </c>
      <c r="I46" s="2">
        <v>2036006922</v>
      </c>
      <c r="J46" s="3">
        <f t="shared" si="5"/>
        <v>1</v>
      </c>
      <c r="K46" s="3">
        <f t="shared" si="12"/>
        <v>0</v>
      </c>
      <c r="L46" s="3" t="e">
        <f t="shared" ca="1" si="6"/>
        <v>#NAME?</v>
      </c>
      <c r="M46" s="3" t="e">
        <f t="shared" ca="1" si="7"/>
        <v>#NAME?</v>
      </c>
      <c r="N46">
        <f t="shared" si="8"/>
        <v>1</v>
      </c>
      <c r="P46">
        <f t="shared" si="9"/>
        <v>75</v>
      </c>
      <c r="Q46" t="str">
        <f t="shared" si="19"/>
        <v/>
      </c>
      <c r="R46" t="str">
        <f t="shared" si="19"/>
        <v/>
      </c>
      <c r="S46" t="str">
        <f t="shared" si="19"/>
        <v/>
      </c>
      <c r="T46" t="str">
        <f t="shared" si="19"/>
        <v/>
      </c>
      <c r="U46" t="str">
        <f t="shared" si="19"/>
        <v/>
      </c>
      <c r="V46" t="str">
        <f t="shared" si="19"/>
        <v/>
      </c>
      <c r="Z46" t="str">
        <f t="shared" si="10"/>
        <v>CIRIS FERREIRA</v>
      </c>
      <c r="AA46" t="str">
        <f t="shared" si="20"/>
        <v/>
      </c>
      <c r="AB46" t="str">
        <f t="shared" si="20"/>
        <v/>
      </c>
      <c r="AC46" t="str">
        <f t="shared" si="20"/>
        <v/>
      </c>
      <c r="AD46" t="str">
        <f t="shared" si="20"/>
        <v/>
      </c>
      <c r="AE46" t="str">
        <f t="shared" si="20"/>
        <v/>
      </c>
      <c r="AF46" t="str">
        <f t="shared" si="20"/>
        <v/>
      </c>
      <c r="AV46">
        <v>45</v>
      </c>
      <c r="AW46" t="s">
        <v>23</v>
      </c>
    </row>
    <row r="47" spans="1:49">
      <c r="A47" s="9">
        <v>46</v>
      </c>
      <c r="B47" s="9" t="s">
        <v>39</v>
      </c>
      <c r="C47" s="10">
        <v>2038185657</v>
      </c>
      <c r="D47" s="9" t="s">
        <v>280</v>
      </c>
      <c r="E47" s="9">
        <f>COUNTIF($C$1:C47,C47)</f>
        <v>1</v>
      </c>
      <c r="F47" s="9" t="str">
        <f t="shared" si="3"/>
        <v>20381856571</v>
      </c>
      <c r="G47" s="9">
        <f t="shared" si="11"/>
        <v>1</v>
      </c>
      <c r="H47" s="9">
        <f t="shared" si="4"/>
        <v>0</v>
      </c>
      <c r="I47" s="4">
        <v>2035719888</v>
      </c>
      <c r="J47" s="5">
        <f t="shared" si="5"/>
        <v>2</v>
      </c>
      <c r="K47" s="5">
        <f t="shared" si="12"/>
        <v>0</v>
      </c>
      <c r="L47" s="5" t="e">
        <f t="shared" ca="1" si="6"/>
        <v>#NAME?</v>
      </c>
      <c r="M47" s="5" t="e">
        <f t="shared" ca="1" si="7"/>
        <v>#NAME?</v>
      </c>
      <c r="N47">
        <f t="shared" si="8"/>
        <v>2</v>
      </c>
      <c r="P47">
        <f t="shared" si="9"/>
        <v>76</v>
      </c>
      <c r="Q47" t="str">
        <f t="shared" si="19"/>
        <v xml:space="preserve"> ,98</v>
      </c>
      <c r="R47" t="str">
        <f t="shared" si="19"/>
        <v/>
      </c>
      <c r="S47" t="str">
        <f t="shared" si="19"/>
        <v/>
      </c>
      <c r="T47" t="str">
        <f t="shared" si="19"/>
        <v/>
      </c>
      <c r="U47" t="str">
        <f t="shared" si="19"/>
        <v/>
      </c>
      <c r="V47" t="str">
        <f t="shared" si="19"/>
        <v/>
      </c>
      <c r="Z47" t="str">
        <f t="shared" si="10"/>
        <v>FRANCISCO SOUZA</v>
      </c>
      <c r="AA47" t="str">
        <f t="shared" si="20"/>
        <v xml:space="preserve"> ,FRANCISCO SOUZA</v>
      </c>
      <c r="AB47" t="str">
        <f t="shared" si="20"/>
        <v/>
      </c>
      <c r="AC47" t="str">
        <f t="shared" si="20"/>
        <v/>
      </c>
      <c r="AD47" t="str">
        <f t="shared" si="20"/>
        <v/>
      </c>
      <c r="AE47" t="str">
        <f t="shared" si="20"/>
        <v/>
      </c>
      <c r="AF47" t="str">
        <f t="shared" si="20"/>
        <v/>
      </c>
      <c r="AV47">
        <v>46</v>
      </c>
      <c r="AW47" t="s">
        <v>39</v>
      </c>
    </row>
    <row r="48" spans="1:49">
      <c r="A48" s="9">
        <v>47</v>
      </c>
      <c r="B48" s="9" t="s">
        <v>40</v>
      </c>
      <c r="C48" s="10">
        <v>2032122279</v>
      </c>
      <c r="D48" s="9" t="s">
        <v>280</v>
      </c>
      <c r="E48" s="9">
        <f>COUNTIF($C$1:C48,C48)</f>
        <v>1</v>
      </c>
      <c r="F48" s="9" t="str">
        <f t="shared" si="3"/>
        <v>20321222791</v>
      </c>
      <c r="G48" s="9">
        <f t="shared" si="11"/>
        <v>0</v>
      </c>
      <c r="H48" s="9">
        <f t="shared" si="4"/>
        <v>0</v>
      </c>
      <c r="I48" s="2">
        <v>9145650041</v>
      </c>
      <c r="J48" s="3">
        <f t="shared" si="5"/>
        <v>4</v>
      </c>
      <c r="K48" s="3">
        <f t="shared" si="12"/>
        <v>2</v>
      </c>
      <c r="L48" s="3" t="e">
        <f t="shared" ca="1" si="6"/>
        <v>#NAME?</v>
      </c>
      <c r="M48" s="3" t="e">
        <f t="shared" ca="1" si="7"/>
        <v>#NAME?</v>
      </c>
      <c r="N48">
        <f t="shared" si="8"/>
        <v>2</v>
      </c>
      <c r="P48">
        <f t="shared" si="9"/>
        <v>77</v>
      </c>
      <c r="Q48" t="str">
        <f t="shared" si="19"/>
        <v xml:space="preserve"> ,129</v>
      </c>
      <c r="R48" t="str">
        <f t="shared" si="19"/>
        <v xml:space="preserve"> ,363</v>
      </c>
      <c r="S48" t="str">
        <f t="shared" si="19"/>
        <v xml:space="preserve"> ,383</v>
      </c>
      <c r="T48" t="str">
        <f t="shared" si="19"/>
        <v/>
      </c>
      <c r="U48" t="str">
        <f t="shared" si="19"/>
        <v/>
      </c>
      <c r="V48" t="str">
        <f t="shared" si="19"/>
        <v/>
      </c>
      <c r="Z48" t="str">
        <f t="shared" si="10"/>
        <v>ANDERSON</v>
      </c>
      <c r="AA48" t="str">
        <f t="shared" si="20"/>
        <v xml:space="preserve"> ,HERNANE</v>
      </c>
      <c r="AB48" t="str">
        <f t="shared" si="20"/>
        <v xml:space="preserve"> ,HERNANE pg</v>
      </c>
      <c r="AC48" t="str">
        <f t="shared" si="20"/>
        <v xml:space="preserve"> ,HERNANE pg</v>
      </c>
      <c r="AD48" t="str">
        <f t="shared" si="20"/>
        <v/>
      </c>
      <c r="AE48" t="str">
        <f t="shared" si="20"/>
        <v/>
      </c>
      <c r="AF48" t="str">
        <f t="shared" si="20"/>
        <v/>
      </c>
      <c r="AV48">
        <v>47</v>
      </c>
      <c r="AW48" t="s">
        <v>40</v>
      </c>
    </row>
    <row r="49" spans="1:49" ht="14.4" hidden="1">
      <c r="A49" s="9">
        <v>48</v>
      </c>
      <c r="B49" s="9" t="s">
        <v>41</v>
      </c>
      <c r="C49" s="10">
        <v>2038148765</v>
      </c>
      <c r="D49" s="9" t="s">
        <v>280</v>
      </c>
      <c r="E49" s="9">
        <f>COUNTIF($C$1:C49,C49)</f>
        <v>1</v>
      </c>
      <c r="F49" s="9" t="str">
        <f t="shared" si="3"/>
        <v>20381487651</v>
      </c>
      <c r="G49" s="9">
        <f t="shared" si="11"/>
        <v>0</v>
      </c>
      <c r="H49" s="9">
        <f t="shared" si="4"/>
        <v>0</v>
      </c>
      <c r="I49" s="4">
        <v>2039819598</v>
      </c>
      <c r="J49" s="5">
        <f t="shared" si="5"/>
        <v>3</v>
      </c>
      <c r="K49" s="5">
        <f t="shared" si="12"/>
        <v>3</v>
      </c>
      <c r="L49" s="5" t="e">
        <f t="shared" ca="1" si="6"/>
        <v>#NAME?</v>
      </c>
      <c r="M49" s="5" t="e">
        <f t="shared" ca="1" si="7"/>
        <v>#NAME?</v>
      </c>
      <c r="N49">
        <f t="shared" si="8"/>
        <v>0</v>
      </c>
      <c r="P49">
        <f t="shared" si="9"/>
        <v>78</v>
      </c>
      <c r="Q49" t="str">
        <f t="shared" si="19"/>
        <v xml:space="preserve"> ,168</v>
      </c>
      <c r="R49" t="str">
        <f t="shared" si="19"/>
        <v xml:space="preserve"> ,393</v>
      </c>
      <c r="S49" t="str">
        <f t="shared" si="19"/>
        <v/>
      </c>
      <c r="T49" t="str">
        <f t="shared" si="19"/>
        <v/>
      </c>
      <c r="U49" t="str">
        <f t="shared" si="19"/>
        <v/>
      </c>
      <c r="V49" t="str">
        <f t="shared" si="19"/>
        <v/>
      </c>
      <c r="Z49" t="str">
        <f t="shared" si="10"/>
        <v>Rodrigo / Polly pg</v>
      </c>
      <c r="AA49" t="str">
        <f t="shared" si="20"/>
        <v xml:space="preserve"> ,Rodrigo /polly pg</v>
      </c>
      <c r="AB49" t="str">
        <f t="shared" si="20"/>
        <v xml:space="preserve"> ,Rodrigo / Polly freee</v>
      </c>
      <c r="AC49" t="str">
        <f t="shared" si="20"/>
        <v/>
      </c>
      <c r="AD49" t="str">
        <f t="shared" si="20"/>
        <v/>
      </c>
      <c r="AE49" t="str">
        <f t="shared" si="20"/>
        <v/>
      </c>
      <c r="AF49" t="str">
        <f t="shared" si="20"/>
        <v/>
      </c>
      <c r="AV49">
        <v>48</v>
      </c>
      <c r="AW49" t="s">
        <v>41</v>
      </c>
    </row>
    <row r="50" spans="1:49">
      <c r="A50" s="9">
        <v>49</v>
      </c>
      <c r="B50" s="9" t="s">
        <v>42</v>
      </c>
      <c r="C50" s="10">
        <v>2036679981</v>
      </c>
      <c r="D50" s="9" t="s">
        <v>280</v>
      </c>
      <c r="E50" s="9">
        <f>COUNTIF($C$1:C50,C50)</f>
        <v>1</v>
      </c>
      <c r="F50" s="9" t="str">
        <f t="shared" si="3"/>
        <v>20366799811</v>
      </c>
      <c r="G50" s="9">
        <f t="shared" si="11"/>
        <v>0</v>
      </c>
      <c r="H50" s="9">
        <f t="shared" si="4"/>
        <v>0</v>
      </c>
      <c r="I50" s="2">
        <v>5615309805</v>
      </c>
      <c r="J50" s="3">
        <f t="shared" si="5"/>
        <v>1</v>
      </c>
      <c r="K50" s="3">
        <f t="shared" si="12"/>
        <v>0</v>
      </c>
      <c r="L50" s="3" t="e">
        <f t="shared" ca="1" si="6"/>
        <v>#NAME?</v>
      </c>
      <c r="M50" s="3" t="e">
        <f t="shared" ca="1" si="7"/>
        <v>#NAME?</v>
      </c>
      <c r="N50">
        <f t="shared" si="8"/>
        <v>1</v>
      </c>
      <c r="P50">
        <f t="shared" si="9"/>
        <v>79</v>
      </c>
      <c r="Q50" t="str">
        <f t="shared" si="19"/>
        <v/>
      </c>
      <c r="R50" t="str">
        <f t="shared" si="19"/>
        <v/>
      </c>
      <c r="S50" t="str">
        <f t="shared" si="19"/>
        <v/>
      </c>
      <c r="T50" t="str">
        <f t="shared" si="19"/>
        <v/>
      </c>
      <c r="U50" t="str">
        <f t="shared" si="19"/>
        <v/>
      </c>
      <c r="V50" t="str">
        <f t="shared" si="19"/>
        <v/>
      </c>
      <c r="Z50" t="str">
        <f t="shared" si="10"/>
        <v>LUIS SERGIO</v>
      </c>
      <c r="AA50" t="str">
        <f t="shared" si="20"/>
        <v/>
      </c>
      <c r="AB50" t="str">
        <f t="shared" si="20"/>
        <v/>
      </c>
      <c r="AC50" t="str">
        <f t="shared" si="20"/>
        <v/>
      </c>
      <c r="AD50" t="str">
        <f t="shared" si="20"/>
        <v/>
      </c>
      <c r="AE50" t="str">
        <f t="shared" si="20"/>
        <v/>
      </c>
      <c r="AF50" t="str">
        <f t="shared" si="20"/>
        <v/>
      </c>
      <c r="AV50">
        <v>49</v>
      </c>
      <c r="AW50" t="s">
        <v>42</v>
      </c>
    </row>
    <row r="51" spans="1:49">
      <c r="A51" s="9">
        <v>50</v>
      </c>
      <c r="B51" s="9" t="s">
        <v>35</v>
      </c>
      <c r="C51" s="10">
        <v>4753621811</v>
      </c>
      <c r="D51" s="9" t="s">
        <v>280</v>
      </c>
      <c r="E51" s="9">
        <f>COUNTIF($C$1:C51,C51)</f>
        <v>2</v>
      </c>
      <c r="F51" s="9" t="str">
        <f t="shared" si="3"/>
        <v>47536218112</v>
      </c>
      <c r="G51" s="9">
        <f t="shared" si="11"/>
        <v>0</v>
      </c>
      <c r="H51" s="9">
        <f t="shared" si="4"/>
        <v>0</v>
      </c>
      <c r="I51" s="4">
        <v>9144175819</v>
      </c>
      <c r="J51" s="5">
        <f t="shared" si="5"/>
        <v>3</v>
      </c>
      <c r="K51" s="5">
        <f t="shared" si="12"/>
        <v>0</v>
      </c>
      <c r="L51" s="5" t="e">
        <f t="shared" ca="1" si="6"/>
        <v>#NAME?</v>
      </c>
      <c r="M51" s="5" t="e">
        <f t="shared" ca="1" si="7"/>
        <v>#NAME?</v>
      </c>
      <c r="N51">
        <f t="shared" si="8"/>
        <v>3</v>
      </c>
      <c r="P51">
        <f t="shared" si="9"/>
        <v>81</v>
      </c>
      <c r="Q51" t="str">
        <f t="shared" si="19"/>
        <v xml:space="preserve"> ,120</v>
      </c>
      <c r="R51" t="str">
        <f t="shared" si="19"/>
        <v xml:space="preserve"> ,147</v>
      </c>
      <c r="S51" t="str">
        <f t="shared" si="19"/>
        <v/>
      </c>
      <c r="T51" t="str">
        <f t="shared" si="19"/>
        <v/>
      </c>
      <c r="U51" t="str">
        <f t="shared" si="19"/>
        <v/>
      </c>
      <c r="V51" t="str">
        <f t="shared" si="19"/>
        <v/>
      </c>
      <c r="Z51" t="str">
        <f t="shared" si="10"/>
        <v>ANDERSON</v>
      </c>
      <c r="AA51" t="str">
        <f t="shared" si="20"/>
        <v xml:space="preserve"> ,ANDERSON</v>
      </c>
      <c r="AB51" t="str">
        <f t="shared" si="20"/>
        <v xml:space="preserve"> ,ANDERSON</v>
      </c>
      <c r="AC51" t="str">
        <f t="shared" si="20"/>
        <v/>
      </c>
      <c r="AD51" t="str">
        <f t="shared" si="20"/>
        <v/>
      </c>
      <c r="AE51" t="str">
        <f t="shared" si="20"/>
        <v/>
      </c>
      <c r="AF51" t="str">
        <f t="shared" si="20"/>
        <v/>
      </c>
      <c r="AV51">
        <v>50</v>
      </c>
      <c r="AW51" t="s">
        <v>35</v>
      </c>
    </row>
    <row r="52" spans="1:49">
      <c r="A52" s="9">
        <v>51</v>
      </c>
      <c r="B52" s="9" t="s">
        <v>12</v>
      </c>
      <c r="C52" s="10">
        <v>2039817839</v>
      </c>
      <c r="D52" s="9" t="s">
        <v>280</v>
      </c>
      <c r="E52" s="9">
        <f>COUNTIF($C$1:C52,C52)</f>
        <v>4</v>
      </c>
      <c r="F52" s="9" t="str">
        <f t="shared" si="3"/>
        <v>20398178394</v>
      </c>
      <c r="G52" s="9">
        <f t="shared" si="11"/>
        <v>0</v>
      </c>
      <c r="H52" s="9">
        <f t="shared" si="4"/>
        <v>0</v>
      </c>
      <c r="I52" s="2">
        <v>3528902004</v>
      </c>
      <c r="J52" s="3">
        <f t="shared" si="5"/>
        <v>1</v>
      </c>
      <c r="K52" s="3">
        <f t="shared" si="12"/>
        <v>0</v>
      </c>
      <c r="L52" s="3" t="e">
        <f t="shared" ca="1" si="6"/>
        <v>#NAME?</v>
      </c>
      <c r="M52" s="3" t="e">
        <f t="shared" ca="1" si="7"/>
        <v>#NAME?</v>
      </c>
      <c r="N52">
        <f t="shared" si="8"/>
        <v>1</v>
      </c>
      <c r="P52">
        <f t="shared" si="9"/>
        <v>82</v>
      </c>
      <c r="Q52" t="str">
        <f t="shared" ref="Q52:V61" si="21">IFERROR(" ,"&amp;INDEX($A$2:$A$501,MATCH($I52&amp;Q$1,$F$2:$F$501,0)),"")</f>
        <v/>
      </c>
      <c r="R52" t="str">
        <f t="shared" si="21"/>
        <v/>
      </c>
      <c r="S52" t="str">
        <f t="shared" si="21"/>
        <v/>
      </c>
      <c r="T52" t="str">
        <f t="shared" si="21"/>
        <v/>
      </c>
      <c r="U52" t="str">
        <f t="shared" si="21"/>
        <v/>
      </c>
      <c r="V52" t="str">
        <f t="shared" si="21"/>
        <v/>
      </c>
      <c r="Z52" t="str">
        <f t="shared" si="10"/>
        <v>DEUSMAR</v>
      </c>
      <c r="AA52" t="str">
        <f t="shared" ref="AA52:AF61" si="22">IFERROR(" ,"&amp;INDEX($B$2:$B$501,MATCH($I52&amp;AA$1,$F$2:$F$501,0)),"")</f>
        <v/>
      </c>
      <c r="AB52" t="str">
        <f t="shared" si="22"/>
        <v/>
      </c>
      <c r="AC52" t="str">
        <f t="shared" si="22"/>
        <v/>
      </c>
      <c r="AD52" t="str">
        <f t="shared" si="22"/>
        <v/>
      </c>
      <c r="AE52" t="str">
        <f t="shared" si="22"/>
        <v/>
      </c>
      <c r="AF52" t="str">
        <f t="shared" si="22"/>
        <v/>
      </c>
      <c r="AV52">
        <v>51</v>
      </c>
      <c r="AW52" t="s">
        <v>12</v>
      </c>
    </row>
    <row r="53" spans="1:49">
      <c r="A53" s="9">
        <v>52</v>
      </c>
      <c r="B53" s="9" t="s">
        <v>32</v>
      </c>
      <c r="C53" s="10">
        <v>2039483635</v>
      </c>
      <c r="D53" s="9" t="s">
        <v>280</v>
      </c>
      <c r="E53" s="9">
        <f>COUNTIF($C$1:C53,C53)</f>
        <v>2</v>
      </c>
      <c r="F53" s="9" t="str">
        <f t="shared" si="3"/>
        <v>20394836352</v>
      </c>
      <c r="G53" s="9">
        <f t="shared" si="11"/>
        <v>0</v>
      </c>
      <c r="H53" s="9">
        <f t="shared" si="4"/>
        <v>0</v>
      </c>
      <c r="I53" s="4">
        <v>9732826254</v>
      </c>
      <c r="J53" s="5">
        <f t="shared" si="5"/>
        <v>1</v>
      </c>
      <c r="K53" s="5">
        <f t="shared" si="12"/>
        <v>0</v>
      </c>
      <c r="L53" s="5" t="e">
        <f t="shared" ca="1" si="6"/>
        <v>#NAME?</v>
      </c>
      <c r="M53" s="5" t="e">
        <f t="shared" ca="1" si="7"/>
        <v>#NAME?</v>
      </c>
      <c r="N53">
        <f t="shared" si="8"/>
        <v>1</v>
      </c>
      <c r="P53">
        <f t="shared" si="9"/>
        <v>83</v>
      </c>
      <c r="Q53" t="str">
        <f t="shared" si="21"/>
        <v/>
      </c>
      <c r="R53" t="str">
        <f t="shared" si="21"/>
        <v/>
      </c>
      <c r="S53" t="str">
        <f t="shared" si="21"/>
        <v/>
      </c>
      <c r="T53" t="str">
        <f t="shared" si="21"/>
        <v/>
      </c>
      <c r="U53" t="str">
        <f t="shared" si="21"/>
        <v/>
      </c>
      <c r="V53" t="str">
        <f t="shared" si="21"/>
        <v/>
      </c>
      <c r="Z53" t="str">
        <f t="shared" si="10"/>
        <v>LEO OLEGARIO</v>
      </c>
      <c r="AA53" t="str">
        <f t="shared" si="22"/>
        <v/>
      </c>
      <c r="AB53" t="str">
        <f t="shared" si="22"/>
        <v/>
      </c>
      <c r="AC53" t="str">
        <f t="shared" si="22"/>
        <v/>
      </c>
      <c r="AD53" t="str">
        <f t="shared" si="22"/>
        <v/>
      </c>
      <c r="AE53" t="str">
        <f t="shared" si="22"/>
        <v/>
      </c>
      <c r="AF53" t="str">
        <f t="shared" si="22"/>
        <v/>
      </c>
      <c r="AV53">
        <v>52</v>
      </c>
      <c r="AW53" t="s">
        <v>32</v>
      </c>
    </row>
    <row r="54" spans="1:49">
      <c r="A54" s="9">
        <v>53</v>
      </c>
      <c r="B54" s="9" t="s">
        <v>43</v>
      </c>
      <c r="C54" s="10">
        <v>9144399667</v>
      </c>
      <c r="D54" s="9" t="s">
        <v>280</v>
      </c>
      <c r="E54" s="9">
        <f>COUNTIF($C$1:C54,C54)</f>
        <v>1</v>
      </c>
      <c r="F54" s="9" t="str">
        <f t="shared" si="3"/>
        <v>91443996671</v>
      </c>
      <c r="G54" s="9">
        <f t="shared" si="11"/>
        <v>1</v>
      </c>
      <c r="H54" s="9">
        <f t="shared" si="4"/>
        <v>0</v>
      </c>
      <c r="I54" s="2">
        <v>5162442819</v>
      </c>
      <c r="J54" s="3">
        <f t="shared" si="5"/>
        <v>3</v>
      </c>
      <c r="K54" s="3">
        <f t="shared" si="12"/>
        <v>0</v>
      </c>
      <c r="L54" s="3" t="e">
        <f t="shared" ca="1" si="6"/>
        <v>#NAME?</v>
      </c>
      <c r="M54" s="3" t="e">
        <f t="shared" ca="1" si="7"/>
        <v>#NAME?</v>
      </c>
      <c r="N54">
        <f t="shared" si="8"/>
        <v>3</v>
      </c>
      <c r="P54">
        <f t="shared" si="9"/>
        <v>84</v>
      </c>
      <c r="Q54" t="str">
        <f t="shared" si="21"/>
        <v xml:space="preserve"> ,217</v>
      </c>
      <c r="R54" t="str">
        <f t="shared" si="21"/>
        <v xml:space="preserve"> ,283</v>
      </c>
      <c r="S54" t="str">
        <f t="shared" si="21"/>
        <v/>
      </c>
      <c r="T54" t="str">
        <f t="shared" si="21"/>
        <v/>
      </c>
      <c r="U54" t="str">
        <f t="shared" si="21"/>
        <v/>
      </c>
      <c r="V54" t="str">
        <f t="shared" si="21"/>
        <v/>
      </c>
      <c r="Z54" t="str">
        <f t="shared" si="10"/>
        <v>Carlos de Paula fre</v>
      </c>
      <c r="AA54" t="str">
        <f t="shared" si="22"/>
        <v xml:space="preserve"> ,Carlos de Paula</v>
      </c>
      <c r="AB54" t="str">
        <f t="shared" si="22"/>
        <v xml:space="preserve"> ,Romeis Camargo /talvez n 217</v>
      </c>
      <c r="AC54" t="str">
        <f t="shared" si="22"/>
        <v/>
      </c>
      <c r="AD54" t="str">
        <f t="shared" si="22"/>
        <v/>
      </c>
      <c r="AE54" t="str">
        <f t="shared" si="22"/>
        <v/>
      </c>
      <c r="AF54" t="str">
        <f t="shared" si="22"/>
        <v/>
      </c>
      <c r="AV54">
        <v>53</v>
      </c>
      <c r="AW54" t="s">
        <v>43</v>
      </c>
    </row>
    <row r="55" spans="1:49">
      <c r="A55" s="9">
        <v>54</v>
      </c>
      <c r="B55" s="9" t="s">
        <v>31</v>
      </c>
      <c r="C55" s="10">
        <v>2035158719</v>
      </c>
      <c r="D55" s="9" t="s">
        <v>280</v>
      </c>
      <c r="E55" s="9">
        <f>COUNTIF($C$1:C55,C55)</f>
        <v>2</v>
      </c>
      <c r="F55" s="9" t="str">
        <f t="shared" si="3"/>
        <v>20351587192</v>
      </c>
      <c r="G55" s="9">
        <f t="shared" si="11"/>
        <v>0</v>
      </c>
      <c r="H55" s="9">
        <f t="shared" si="4"/>
        <v>0</v>
      </c>
      <c r="I55" s="4">
        <v>2036925867</v>
      </c>
      <c r="J55" s="5">
        <f t="shared" si="5"/>
        <v>1</v>
      </c>
      <c r="K55" s="5">
        <f t="shared" si="12"/>
        <v>0</v>
      </c>
      <c r="L55" s="5" t="e">
        <f t="shared" ca="1" si="6"/>
        <v>#NAME?</v>
      </c>
      <c r="M55" s="5" t="e">
        <f t="shared" ca="1" si="7"/>
        <v>#NAME?</v>
      </c>
      <c r="N55">
        <f t="shared" si="8"/>
        <v>1</v>
      </c>
      <c r="P55">
        <f t="shared" si="9"/>
        <v>86</v>
      </c>
      <c r="Q55" t="str">
        <f t="shared" si="21"/>
        <v/>
      </c>
      <c r="R55" t="str">
        <f t="shared" si="21"/>
        <v/>
      </c>
      <c r="S55" t="str">
        <f t="shared" si="21"/>
        <v/>
      </c>
      <c r="T55" t="str">
        <f t="shared" si="21"/>
        <v/>
      </c>
      <c r="U55" t="str">
        <f t="shared" si="21"/>
        <v/>
      </c>
      <c r="V55" t="str">
        <f t="shared" si="21"/>
        <v/>
      </c>
      <c r="Z55" t="str">
        <f t="shared" si="10"/>
        <v>ANDRE RAY</v>
      </c>
      <c r="AA55" t="str">
        <f t="shared" si="22"/>
        <v/>
      </c>
      <c r="AB55" t="str">
        <f t="shared" si="22"/>
        <v/>
      </c>
      <c r="AC55" t="str">
        <f t="shared" si="22"/>
        <v/>
      </c>
      <c r="AD55" t="str">
        <f t="shared" si="22"/>
        <v/>
      </c>
      <c r="AE55" t="str">
        <f t="shared" si="22"/>
        <v/>
      </c>
      <c r="AF55" t="str">
        <f t="shared" si="22"/>
        <v/>
      </c>
      <c r="AV55">
        <v>54</v>
      </c>
      <c r="AW55" t="s">
        <v>31</v>
      </c>
    </row>
    <row r="56" spans="1:49" ht="14.4" hidden="1">
      <c r="A56" s="9">
        <v>55</v>
      </c>
      <c r="B56" s="9" t="s">
        <v>44</v>
      </c>
      <c r="C56" s="10">
        <v>2035158719</v>
      </c>
      <c r="D56" s="9" t="s">
        <v>283</v>
      </c>
      <c r="E56" s="9">
        <f>COUNTIF($C$1:C56,C56)</f>
        <v>3</v>
      </c>
      <c r="F56" s="9" t="str">
        <f t="shared" si="3"/>
        <v>20351587193</v>
      </c>
      <c r="G56" s="9">
        <f t="shared" si="11"/>
        <v>0</v>
      </c>
      <c r="H56" s="9">
        <f t="shared" si="4"/>
        <v>0</v>
      </c>
      <c r="I56" s="2">
        <v>2035401836</v>
      </c>
      <c r="J56" s="3">
        <f t="shared" si="5"/>
        <v>1</v>
      </c>
      <c r="K56" s="3">
        <f t="shared" si="12"/>
        <v>1</v>
      </c>
      <c r="L56" s="3" t="e">
        <f t="shared" ca="1" si="6"/>
        <v>#NAME?</v>
      </c>
      <c r="M56" s="3" t="e">
        <f t="shared" ca="1" si="7"/>
        <v>#NAME?</v>
      </c>
      <c r="N56">
        <f t="shared" si="8"/>
        <v>0</v>
      </c>
      <c r="P56">
        <f t="shared" si="9"/>
        <v>87</v>
      </c>
      <c r="Q56" t="str">
        <f t="shared" si="21"/>
        <v/>
      </c>
      <c r="R56" t="str">
        <f t="shared" si="21"/>
        <v/>
      </c>
      <c r="S56" t="str">
        <f t="shared" si="21"/>
        <v/>
      </c>
      <c r="T56" t="str">
        <f t="shared" si="21"/>
        <v/>
      </c>
      <c r="U56" t="str">
        <f t="shared" si="21"/>
        <v/>
      </c>
      <c r="V56" t="str">
        <f t="shared" si="21"/>
        <v/>
      </c>
      <c r="Z56" t="str">
        <f t="shared" si="10"/>
        <v>Fabiano Alves pg</v>
      </c>
      <c r="AA56" t="str">
        <f t="shared" si="22"/>
        <v/>
      </c>
      <c r="AB56" t="str">
        <f t="shared" si="22"/>
        <v/>
      </c>
      <c r="AC56" t="str">
        <f t="shared" si="22"/>
        <v/>
      </c>
      <c r="AD56" t="str">
        <f t="shared" si="22"/>
        <v/>
      </c>
      <c r="AE56" t="str">
        <f t="shared" si="22"/>
        <v/>
      </c>
      <c r="AF56" t="str">
        <f t="shared" si="22"/>
        <v/>
      </c>
      <c r="AV56">
        <v>55</v>
      </c>
      <c r="AW56" t="s">
        <v>44</v>
      </c>
    </row>
    <row r="57" spans="1:49">
      <c r="A57" s="9">
        <v>56</v>
      </c>
      <c r="B57" s="9" t="s">
        <v>45</v>
      </c>
      <c r="C57" s="10">
        <v>2039237387</v>
      </c>
      <c r="D57" s="9" t="s">
        <v>280</v>
      </c>
      <c r="E57" s="9">
        <f>COUNTIF($C$1:C57,C57)</f>
        <v>1</v>
      </c>
      <c r="F57" s="9" t="str">
        <f t="shared" si="3"/>
        <v>20392373871</v>
      </c>
      <c r="G57" s="9">
        <f t="shared" si="11"/>
        <v>0</v>
      </c>
      <c r="H57" s="9">
        <f t="shared" si="4"/>
        <v>0</v>
      </c>
      <c r="I57" s="4">
        <v>9145656120</v>
      </c>
      <c r="J57" s="5">
        <f t="shared" si="5"/>
        <v>1</v>
      </c>
      <c r="K57" s="5">
        <f t="shared" si="12"/>
        <v>0</v>
      </c>
      <c r="L57" s="5" t="e">
        <f t="shared" ca="1" si="6"/>
        <v>#NAME?</v>
      </c>
      <c r="M57" s="5" t="e">
        <f t="shared" ca="1" si="7"/>
        <v>#NAME?</v>
      </c>
      <c r="N57">
        <f t="shared" si="8"/>
        <v>1</v>
      </c>
      <c r="P57">
        <f t="shared" si="9"/>
        <v>89</v>
      </c>
      <c r="Q57" t="str">
        <f t="shared" si="21"/>
        <v/>
      </c>
      <c r="R57" t="str">
        <f t="shared" si="21"/>
        <v/>
      </c>
      <c r="S57" t="str">
        <f t="shared" si="21"/>
        <v/>
      </c>
      <c r="T57" t="str">
        <f t="shared" si="21"/>
        <v/>
      </c>
      <c r="U57" t="str">
        <f t="shared" si="21"/>
        <v/>
      </c>
      <c r="V57" t="str">
        <f t="shared" si="21"/>
        <v/>
      </c>
      <c r="Z57" t="str">
        <f t="shared" si="10"/>
        <v>JOAO V CARDOSO</v>
      </c>
      <c r="AA57" t="str">
        <f t="shared" si="22"/>
        <v/>
      </c>
      <c r="AB57" t="str">
        <f t="shared" si="22"/>
        <v/>
      </c>
      <c r="AC57" t="str">
        <f t="shared" si="22"/>
        <v/>
      </c>
      <c r="AD57" t="str">
        <f t="shared" si="22"/>
        <v/>
      </c>
      <c r="AE57" t="str">
        <f t="shared" si="22"/>
        <v/>
      </c>
      <c r="AF57" t="str">
        <f t="shared" si="22"/>
        <v/>
      </c>
      <c r="AV57">
        <v>56</v>
      </c>
      <c r="AW57" t="s">
        <v>45</v>
      </c>
    </row>
    <row r="58" spans="1:49">
      <c r="A58" s="9">
        <v>57</v>
      </c>
      <c r="B58" s="9" t="s">
        <v>46</v>
      </c>
      <c r="C58" s="10"/>
      <c r="D58" s="9" t="s">
        <v>281</v>
      </c>
      <c r="E58" s="9">
        <f>COUNTIF($C$1:C58,C58)</f>
        <v>0</v>
      </c>
      <c r="F58" s="9" t="str">
        <f t="shared" si="3"/>
        <v>0</v>
      </c>
      <c r="G58" s="9">
        <f t="shared" si="11"/>
        <v>0</v>
      </c>
      <c r="H58" s="9">
        <f t="shared" si="4"/>
        <v>0</v>
      </c>
      <c r="I58" s="2">
        <v>2035439473</v>
      </c>
      <c r="J58" s="3">
        <f t="shared" si="5"/>
        <v>2</v>
      </c>
      <c r="K58" s="3">
        <f t="shared" si="12"/>
        <v>0</v>
      </c>
      <c r="L58" s="3" t="e">
        <f t="shared" ca="1" si="6"/>
        <v>#NAME?</v>
      </c>
      <c r="M58" s="3" t="e">
        <f t="shared" ca="1" si="7"/>
        <v>#NAME?</v>
      </c>
      <c r="N58">
        <f t="shared" si="8"/>
        <v>2</v>
      </c>
      <c r="P58">
        <f t="shared" si="9"/>
        <v>90</v>
      </c>
      <c r="Q58" t="str">
        <f t="shared" si="21"/>
        <v xml:space="preserve"> ,100</v>
      </c>
      <c r="R58" t="str">
        <f t="shared" si="21"/>
        <v/>
      </c>
      <c r="S58" t="str">
        <f t="shared" si="21"/>
        <v/>
      </c>
      <c r="T58" t="str">
        <f t="shared" si="21"/>
        <v/>
      </c>
      <c r="U58" t="str">
        <f t="shared" si="21"/>
        <v/>
      </c>
      <c r="V58" t="str">
        <f t="shared" si="21"/>
        <v/>
      </c>
      <c r="Z58" t="str">
        <f t="shared" si="10"/>
        <v>FE EM DEUS 2035439473</v>
      </c>
      <c r="AA58" t="str">
        <f t="shared" si="22"/>
        <v xml:space="preserve"> ,HARLEY</v>
      </c>
      <c r="AB58" t="str">
        <f t="shared" si="22"/>
        <v/>
      </c>
      <c r="AC58" t="str">
        <f t="shared" si="22"/>
        <v/>
      </c>
      <c r="AD58" t="str">
        <f t="shared" si="22"/>
        <v/>
      </c>
      <c r="AE58" t="str">
        <f t="shared" si="22"/>
        <v/>
      </c>
      <c r="AF58" t="str">
        <f t="shared" si="22"/>
        <v/>
      </c>
      <c r="AV58">
        <v>57</v>
      </c>
      <c r="AW58" t="s">
        <v>46</v>
      </c>
    </row>
    <row r="59" spans="1:49">
      <c r="A59" s="9">
        <v>58</v>
      </c>
      <c r="B59" s="9" t="s">
        <v>47</v>
      </c>
      <c r="C59" s="10">
        <v>2032570853</v>
      </c>
      <c r="D59" s="9" t="s">
        <v>280</v>
      </c>
      <c r="E59" s="9">
        <f>COUNTIF($C$1:C59,C59)</f>
        <v>1</v>
      </c>
      <c r="F59" s="9" t="str">
        <f t="shared" si="3"/>
        <v>20325708531</v>
      </c>
      <c r="G59" s="9">
        <f t="shared" si="11"/>
        <v>0</v>
      </c>
      <c r="H59" s="9">
        <f t="shared" si="4"/>
        <v>0</v>
      </c>
      <c r="I59" s="4">
        <v>2034285344</v>
      </c>
      <c r="J59" s="5">
        <f t="shared" si="5"/>
        <v>2</v>
      </c>
      <c r="K59" s="5">
        <f t="shared" si="12"/>
        <v>0</v>
      </c>
      <c r="L59" s="5" t="e">
        <f t="shared" ca="1" si="6"/>
        <v>#NAME?</v>
      </c>
      <c r="M59" s="5" t="e">
        <f t="shared" ca="1" si="7"/>
        <v>#NAME?</v>
      </c>
      <c r="N59">
        <f t="shared" si="8"/>
        <v>2</v>
      </c>
      <c r="P59">
        <f t="shared" si="9"/>
        <v>91</v>
      </c>
      <c r="Q59" t="str">
        <f t="shared" si="21"/>
        <v xml:space="preserve"> ,181</v>
      </c>
      <c r="R59" t="str">
        <f t="shared" si="21"/>
        <v/>
      </c>
      <c r="S59" t="str">
        <f t="shared" si="21"/>
        <v/>
      </c>
      <c r="T59" t="str">
        <f t="shared" si="21"/>
        <v/>
      </c>
      <c r="U59" t="str">
        <f t="shared" si="21"/>
        <v/>
      </c>
      <c r="V59" t="str">
        <f t="shared" si="21"/>
        <v/>
      </c>
      <c r="Z59" t="str">
        <f t="shared" si="10"/>
        <v>BINHO</v>
      </c>
      <c r="AA59" t="str">
        <f t="shared" si="22"/>
        <v xml:space="preserve"> ,BINHO</v>
      </c>
      <c r="AB59" t="str">
        <f t="shared" si="22"/>
        <v/>
      </c>
      <c r="AC59" t="str">
        <f t="shared" si="22"/>
        <v/>
      </c>
      <c r="AD59" t="str">
        <f t="shared" si="22"/>
        <v/>
      </c>
      <c r="AE59" t="str">
        <f t="shared" si="22"/>
        <v/>
      </c>
      <c r="AF59" t="str">
        <f t="shared" si="22"/>
        <v/>
      </c>
      <c r="AV59">
        <v>58</v>
      </c>
      <c r="AW59" t="s">
        <v>47</v>
      </c>
    </row>
    <row r="60" spans="1:49">
      <c r="A60" s="9">
        <v>59</v>
      </c>
      <c r="B60" s="9" t="s">
        <v>48</v>
      </c>
      <c r="C60" s="10">
        <v>2038583797</v>
      </c>
      <c r="D60" s="9" t="s">
        <v>280</v>
      </c>
      <c r="E60" s="9">
        <f>COUNTIF($C$1:C60,C60)</f>
        <v>1</v>
      </c>
      <c r="F60" s="9" t="str">
        <f t="shared" si="3"/>
        <v>20385837971</v>
      </c>
      <c r="G60" s="9">
        <f t="shared" si="11"/>
        <v>0</v>
      </c>
      <c r="H60" s="9">
        <f t="shared" si="4"/>
        <v>0</v>
      </c>
      <c r="I60" s="2">
        <v>2035239177</v>
      </c>
      <c r="J60" s="3">
        <f t="shared" si="5"/>
        <v>1</v>
      </c>
      <c r="K60" s="3">
        <f t="shared" si="12"/>
        <v>0</v>
      </c>
      <c r="L60" s="3" t="e">
        <f t="shared" ca="1" si="6"/>
        <v>#NAME?</v>
      </c>
      <c r="M60" s="3" t="e">
        <f t="shared" ca="1" si="7"/>
        <v>#NAME?</v>
      </c>
      <c r="N60">
        <f t="shared" si="8"/>
        <v>1</v>
      </c>
      <c r="P60">
        <f t="shared" si="9"/>
        <v>92</v>
      </c>
      <c r="Q60" t="str">
        <f t="shared" si="21"/>
        <v/>
      </c>
      <c r="R60" t="str">
        <f t="shared" si="21"/>
        <v/>
      </c>
      <c r="S60" t="str">
        <f t="shared" si="21"/>
        <v/>
      </c>
      <c r="T60" t="str">
        <f t="shared" si="21"/>
        <v/>
      </c>
      <c r="U60" t="str">
        <f t="shared" si="21"/>
        <v/>
      </c>
      <c r="V60" t="str">
        <f t="shared" si="21"/>
        <v/>
      </c>
      <c r="Z60" t="str">
        <f t="shared" si="10"/>
        <v>CHARLLIE</v>
      </c>
      <c r="AA60" t="str">
        <f t="shared" si="22"/>
        <v/>
      </c>
      <c r="AB60" t="str">
        <f t="shared" si="22"/>
        <v/>
      </c>
      <c r="AC60" t="str">
        <f t="shared" si="22"/>
        <v/>
      </c>
      <c r="AD60" t="str">
        <f t="shared" si="22"/>
        <v/>
      </c>
      <c r="AE60" t="str">
        <f t="shared" si="22"/>
        <v/>
      </c>
      <c r="AF60" t="str">
        <f t="shared" si="22"/>
        <v/>
      </c>
      <c r="AV60">
        <v>59</v>
      </c>
      <c r="AW60" t="s">
        <v>48</v>
      </c>
    </row>
    <row r="61" spans="1:49">
      <c r="A61" s="9">
        <v>60</v>
      </c>
      <c r="B61" s="9" t="s">
        <v>21</v>
      </c>
      <c r="C61" s="10">
        <v>9144975684</v>
      </c>
      <c r="D61" s="9" t="s">
        <v>280</v>
      </c>
      <c r="E61" s="9">
        <f>COUNTIF($C$1:C61,C61)</f>
        <v>2</v>
      </c>
      <c r="F61" s="9" t="str">
        <f t="shared" si="3"/>
        <v>91449756842</v>
      </c>
      <c r="G61" s="9">
        <f t="shared" si="11"/>
        <v>0</v>
      </c>
      <c r="H61" s="9">
        <f t="shared" si="4"/>
        <v>0</v>
      </c>
      <c r="I61" s="4">
        <v>9144690686</v>
      </c>
      <c r="J61" s="5">
        <f t="shared" si="5"/>
        <v>3</v>
      </c>
      <c r="K61" s="5">
        <f t="shared" si="12"/>
        <v>0</v>
      </c>
      <c r="L61" s="5" t="e">
        <f t="shared" ca="1" si="6"/>
        <v>#NAME?</v>
      </c>
      <c r="M61" s="5" t="e">
        <f t="shared" ca="1" si="7"/>
        <v>#NAME?</v>
      </c>
      <c r="N61">
        <f t="shared" si="8"/>
        <v>3</v>
      </c>
      <c r="P61">
        <f t="shared" si="9"/>
        <v>94</v>
      </c>
      <c r="Q61" t="str">
        <f t="shared" si="21"/>
        <v xml:space="preserve"> ,382</v>
      </c>
      <c r="R61" t="str">
        <f t="shared" si="21"/>
        <v xml:space="preserve"> ,394</v>
      </c>
      <c r="S61" t="str">
        <f t="shared" si="21"/>
        <v/>
      </c>
      <c r="T61" t="str">
        <f t="shared" si="21"/>
        <v/>
      </c>
      <c r="U61" t="str">
        <f t="shared" si="21"/>
        <v/>
      </c>
      <c r="V61" t="str">
        <f t="shared" si="21"/>
        <v/>
      </c>
      <c r="Z61" t="str">
        <f t="shared" si="10"/>
        <v>GUILHERME NOGUEIRA</v>
      </c>
      <c r="AA61" t="str">
        <f t="shared" si="22"/>
        <v xml:space="preserve"> ,ALEX BARBOSA</v>
      </c>
      <c r="AB61" t="str">
        <f t="shared" si="22"/>
        <v xml:space="preserve"> ,ALEX BARBOSA</v>
      </c>
      <c r="AC61" t="str">
        <f t="shared" si="22"/>
        <v/>
      </c>
      <c r="AD61" t="str">
        <f t="shared" si="22"/>
        <v/>
      </c>
      <c r="AE61" t="str">
        <f t="shared" si="22"/>
        <v/>
      </c>
      <c r="AF61" t="str">
        <f t="shared" si="22"/>
        <v/>
      </c>
      <c r="AV61">
        <v>60</v>
      </c>
      <c r="AW61" t="s">
        <v>21</v>
      </c>
    </row>
    <row r="62" spans="1:49">
      <c r="A62" s="9">
        <v>61</v>
      </c>
      <c r="B62" s="9" t="s">
        <v>49</v>
      </c>
      <c r="C62" s="10">
        <v>2036105893</v>
      </c>
      <c r="D62" s="9" t="s">
        <v>280</v>
      </c>
      <c r="E62" s="9">
        <f>COUNTIF($C$1:C62,C62)</f>
        <v>1</v>
      </c>
      <c r="F62" s="9" t="str">
        <f t="shared" si="3"/>
        <v>20361058931</v>
      </c>
      <c r="G62" s="9">
        <f t="shared" si="11"/>
        <v>0</v>
      </c>
      <c r="H62" s="9">
        <f t="shared" si="4"/>
        <v>0</v>
      </c>
      <c r="I62" s="2">
        <v>2035229488</v>
      </c>
      <c r="J62" s="3">
        <f t="shared" si="5"/>
        <v>2</v>
      </c>
      <c r="K62" s="3">
        <f t="shared" si="12"/>
        <v>0</v>
      </c>
      <c r="L62" s="3" t="e">
        <f t="shared" ca="1" si="6"/>
        <v>#NAME?</v>
      </c>
      <c r="M62" s="3" t="e">
        <f t="shared" ca="1" si="7"/>
        <v>#NAME?</v>
      </c>
      <c r="N62">
        <f t="shared" si="8"/>
        <v>2</v>
      </c>
      <c r="P62">
        <f t="shared" si="9"/>
        <v>95</v>
      </c>
      <c r="Q62" t="str">
        <f t="shared" ref="Q62:V71" si="23">IFERROR(" ,"&amp;INDEX($A$2:$A$501,MATCH($I62&amp;Q$1,$F$2:$F$501,0)),"")</f>
        <v xml:space="preserve"> ,299</v>
      </c>
      <c r="R62" t="str">
        <f t="shared" si="23"/>
        <v/>
      </c>
      <c r="S62" t="str">
        <f t="shared" si="23"/>
        <v/>
      </c>
      <c r="T62" t="str">
        <f t="shared" si="23"/>
        <v/>
      </c>
      <c r="U62" t="str">
        <f t="shared" si="23"/>
        <v/>
      </c>
      <c r="V62" t="str">
        <f t="shared" si="23"/>
        <v/>
      </c>
      <c r="Z62" t="str">
        <f t="shared" si="10"/>
        <v>DIEGO (MECANICO)</v>
      </c>
      <c r="AA62" t="str">
        <f t="shared" ref="AA62:AF71" si="24">IFERROR(" ,"&amp;INDEX($B$2:$B$501,MATCH($I62&amp;AA$1,$F$2:$F$501,0)),"")</f>
        <v xml:space="preserve"> ,DIEGO MECANICO</v>
      </c>
      <c r="AB62" t="str">
        <f t="shared" si="24"/>
        <v/>
      </c>
      <c r="AC62" t="str">
        <f t="shared" si="24"/>
        <v/>
      </c>
      <c r="AD62" t="str">
        <f t="shared" si="24"/>
        <v/>
      </c>
      <c r="AE62" t="str">
        <f t="shared" si="24"/>
        <v/>
      </c>
      <c r="AF62" t="str">
        <f t="shared" si="24"/>
        <v/>
      </c>
      <c r="AV62">
        <v>61</v>
      </c>
      <c r="AW62" t="s">
        <v>49</v>
      </c>
    </row>
    <row r="63" spans="1:49" ht="14.4" hidden="1">
      <c r="A63" s="9">
        <v>62</v>
      </c>
      <c r="B63" s="9" t="s">
        <v>50</v>
      </c>
      <c r="C63" s="10">
        <v>2033490246</v>
      </c>
      <c r="D63" s="9" t="s">
        <v>280</v>
      </c>
      <c r="E63" s="9">
        <f>COUNTIF($C$1:C63,C63)</f>
        <v>3</v>
      </c>
      <c r="F63" s="9" t="str">
        <f t="shared" si="3"/>
        <v>20334902463</v>
      </c>
      <c r="G63" s="9">
        <f t="shared" si="11"/>
        <v>0</v>
      </c>
      <c r="H63" s="9">
        <f t="shared" si="4"/>
        <v>0</v>
      </c>
      <c r="I63" s="4">
        <v>9145659101</v>
      </c>
      <c r="J63" s="5">
        <f t="shared" si="5"/>
        <v>1</v>
      </c>
      <c r="K63" s="5">
        <f t="shared" si="12"/>
        <v>1</v>
      </c>
      <c r="L63" s="5" t="e">
        <f t="shared" ca="1" si="6"/>
        <v>#NAME?</v>
      </c>
      <c r="M63" s="5" t="e">
        <f t="shared" ca="1" si="7"/>
        <v>#NAME?</v>
      </c>
      <c r="N63">
        <f t="shared" si="8"/>
        <v>0</v>
      </c>
      <c r="P63">
        <f t="shared" si="9"/>
        <v>96</v>
      </c>
      <c r="Q63" t="str">
        <f t="shared" si="23"/>
        <v/>
      </c>
      <c r="R63" t="str">
        <f t="shared" si="23"/>
        <v/>
      </c>
      <c r="S63" t="str">
        <f t="shared" si="23"/>
        <v/>
      </c>
      <c r="T63" t="str">
        <f t="shared" si="23"/>
        <v/>
      </c>
      <c r="U63" t="str">
        <f t="shared" si="23"/>
        <v/>
      </c>
      <c r="V63" t="str">
        <f t="shared" si="23"/>
        <v/>
      </c>
      <c r="Z63" t="str">
        <f t="shared" si="10"/>
        <v>DOUGLAS pg</v>
      </c>
      <c r="AA63" t="str">
        <f t="shared" si="24"/>
        <v/>
      </c>
      <c r="AB63" t="str">
        <f t="shared" si="24"/>
        <v/>
      </c>
      <c r="AC63" t="str">
        <f t="shared" si="24"/>
        <v/>
      </c>
      <c r="AD63" t="str">
        <f t="shared" si="24"/>
        <v/>
      </c>
      <c r="AE63" t="str">
        <f t="shared" si="24"/>
        <v/>
      </c>
      <c r="AF63" t="str">
        <f t="shared" si="24"/>
        <v/>
      </c>
      <c r="AV63">
        <v>62</v>
      </c>
      <c r="AW63" t="s">
        <v>50</v>
      </c>
    </row>
    <row r="64" spans="1:49">
      <c r="A64" s="9">
        <v>63</v>
      </c>
      <c r="B64" s="9" t="s">
        <v>305</v>
      </c>
      <c r="C64" s="10">
        <v>9147602272</v>
      </c>
      <c r="D64" s="9" t="s">
        <v>280</v>
      </c>
      <c r="E64" s="9">
        <f>COUNTIF($C$1:C64,C64)</f>
        <v>1</v>
      </c>
      <c r="F64" s="9" t="str">
        <f t="shared" si="3"/>
        <v>91476022721</v>
      </c>
      <c r="G64" s="9">
        <f t="shared" si="11"/>
        <v>1</v>
      </c>
      <c r="H64" s="9">
        <f t="shared" si="4"/>
        <v>0</v>
      </c>
      <c r="I64" s="2">
        <v>2035597817</v>
      </c>
      <c r="J64" s="3">
        <f t="shared" si="5"/>
        <v>1</v>
      </c>
      <c r="K64" s="3">
        <f t="shared" si="12"/>
        <v>0</v>
      </c>
      <c r="L64" s="3" t="e">
        <f t="shared" ca="1" si="6"/>
        <v>#NAME?</v>
      </c>
      <c r="M64" s="3" t="e">
        <f t="shared" ca="1" si="7"/>
        <v>#NAME?</v>
      </c>
      <c r="N64">
        <f t="shared" si="8"/>
        <v>1</v>
      </c>
      <c r="P64">
        <f t="shared" si="9"/>
        <v>97</v>
      </c>
      <c r="Q64" t="str">
        <f t="shared" si="23"/>
        <v/>
      </c>
      <c r="R64" t="str">
        <f t="shared" si="23"/>
        <v/>
      </c>
      <c r="S64" t="str">
        <f t="shared" si="23"/>
        <v/>
      </c>
      <c r="T64" t="str">
        <f t="shared" si="23"/>
        <v/>
      </c>
      <c r="U64" t="str">
        <f t="shared" si="23"/>
        <v/>
      </c>
      <c r="V64" t="str">
        <f t="shared" si="23"/>
        <v/>
      </c>
      <c r="Z64" t="str">
        <f t="shared" si="10"/>
        <v>ROGERIO LOPES</v>
      </c>
      <c r="AA64" t="str">
        <f t="shared" si="24"/>
        <v/>
      </c>
      <c r="AB64" t="str">
        <f t="shared" si="24"/>
        <v/>
      </c>
      <c r="AC64" t="str">
        <f t="shared" si="24"/>
        <v/>
      </c>
      <c r="AD64" t="str">
        <f t="shared" si="24"/>
        <v/>
      </c>
      <c r="AE64" t="str">
        <f t="shared" si="24"/>
        <v/>
      </c>
      <c r="AF64" t="str">
        <f t="shared" si="24"/>
        <v/>
      </c>
      <c r="AV64">
        <v>63</v>
      </c>
      <c r="AW64" t="s">
        <v>51</v>
      </c>
    </row>
    <row r="65" spans="1:49">
      <c r="A65" s="9">
        <v>64</v>
      </c>
      <c r="B65" s="9" t="s">
        <v>305</v>
      </c>
      <c r="C65" s="10">
        <v>9147602272</v>
      </c>
      <c r="D65" s="9" t="s">
        <v>280</v>
      </c>
      <c r="E65" s="9">
        <f>COUNTIF($C$1:C65,C65)</f>
        <v>2</v>
      </c>
      <c r="F65" s="9" t="str">
        <f t="shared" si="3"/>
        <v>91476022722</v>
      </c>
      <c r="G65" s="9">
        <f t="shared" si="11"/>
        <v>1</v>
      </c>
      <c r="H65" s="9">
        <f t="shared" si="4"/>
        <v>0</v>
      </c>
      <c r="I65" s="4">
        <v>9143918505</v>
      </c>
      <c r="J65" s="5">
        <f t="shared" si="5"/>
        <v>2</v>
      </c>
      <c r="K65" s="5">
        <f t="shared" si="12"/>
        <v>0</v>
      </c>
      <c r="L65" s="5" t="e">
        <f t="shared" ca="1" si="6"/>
        <v>#NAME?</v>
      </c>
      <c r="M65" s="5" t="e">
        <f t="shared" ca="1" si="7"/>
        <v>#NAME?</v>
      </c>
      <c r="N65">
        <f t="shared" si="8"/>
        <v>2</v>
      </c>
      <c r="P65">
        <f t="shared" si="9"/>
        <v>99</v>
      </c>
      <c r="Q65" t="str">
        <f t="shared" si="23"/>
        <v xml:space="preserve"> ,282</v>
      </c>
      <c r="R65" t="str">
        <f t="shared" si="23"/>
        <v/>
      </c>
      <c r="S65" t="str">
        <f t="shared" si="23"/>
        <v/>
      </c>
      <c r="T65" t="str">
        <f t="shared" si="23"/>
        <v/>
      </c>
      <c r="U65" t="str">
        <f t="shared" si="23"/>
        <v/>
      </c>
      <c r="V65" t="str">
        <f t="shared" si="23"/>
        <v/>
      </c>
      <c r="Z65" t="str">
        <f t="shared" si="10"/>
        <v>ADRIANO</v>
      </c>
      <c r="AA65" t="str">
        <f t="shared" si="24"/>
        <v xml:space="preserve"> ,ADRIANO</v>
      </c>
      <c r="AB65" t="str">
        <f t="shared" si="24"/>
        <v/>
      </c>
      <c r="AC65" t="str">
        <f t="shared" si="24"/>
        <v/>
      </c>
      <c r="AD65" t="str">
        <f t="shared" si="24"/>
        <v/>
      </c>
      <c r="AE65" t="str">
        <f t="shared" si="24"/>
        <v/>
      </c>
      <c r="AF65" t="str">
        <f t="shared" si="24"/>
        <v/>
      </c>
      <c r="AV65">
        <v>64</v>
      </c>
      <c r="AW65" t="s">
        <v>51</v>
      </c>
    </row>
    <row r="66" spans="1:49">
      <c r="A66" s="9">
        <v>65</v>
      </c>
      <c r="B66" s="9" t="s">
        <v>43</v>
      </c>
      <c r="C66" s="10">
        <v>9144399667</v>
      </c>
      <c r="D66" s="9" t="s">
        <v>280</v>
      </c>
      <c r="E66" s="9">
        <f>COUNTIF($C$1:C66,C66)</f>
        <v>2</v>
      </c>
      <c r="F66" s="9" t="str">
        <f t="shared" si="3"/>
        <v>91443996672</v>
      </c>
      <c r="G66" s="9">
        <f t="shared" si="11"/>
        <v>1</v>
      </c>
      <c r="H66" s="9">
        <f t="shared" si="4"/>
        <v>0</v>
      </c>
      <c r="I66" s="2">
        <v>2672706341</v>
      </c>
      <c r="J66" s="3">
        <f t="shared" si="5"/>
        <v>3</v>
      </c>
      <c r="K66" s="3">
        <f t="shared" si="12"/>
        <v>0</v>
      </c>
      <c r="L66" s="3" t="e">
        <f t="shared" ca="1" si="6"/>
        <v>#NAME?</v>
      </c>
      <c r="M66" s="3" t="e">
        <f t="shared" ca="1" si="7"/>
        <v>#NAME?</v>
      </c>
      <c r="N66">
        <f t="shared" si="8"/>
        <v>3</v>
      </c>
      <c r="P66">
        <f t="shared" si="9"/>
        <v>102</v>
      </c>
      <c r="Q66" t="str">
        <f t="shared" si="23"/>
        <v xml:space="preserve"> ,104</v>
      </c>
      <c r="R66" t="str">
        <f t="shared" si="23"/>
        <v xml:space="preserve"> ,106</v>
      </c>
      <c r="S66" t="str">
        <f t="shared" si="23"/>
        <v/>
      </c>
      <c r="T66" t="str">
        <f t="shared" si="23"/>
        <v/>
      </c>
      <c r="U66" t="str">
        <f t="shared" si="23"/>
        <v/>
      </c>
      <c r="V66" t="str">
        <f t="shared" si="23"/>
        <v/>
      </c>
      <c r="Z66" t="str">
        <f t="shared" si="10"/>
        <v>UEVERTON L FERREIRA</v>
      </c>
      <c r="AA66" t="str">
        <f t="shared" si="24"/>
        <v xml:space="preserve"> ,UEVERTON L FERREIRA</v>
      </c>
      <c r="AB66" t="str">
        <f t="shared" si="24"/>
        <v xml:space="preserve"> ,UEVERTON L FERREIRA</v>
      </c>
      <c r="AC66" t="str">
        <f t="shared" si="24"/>
        <v/>
      </c>
      <c r="AD66" t="str">
        <f t="shared" si="24"/>
        <v/>
      </c>
      <c r="AE66" t="str">
        <f t="shared" si="24"/>
        <v/>
      </c>
      <c r="AF66" t="str">
        <f t="shared" si="24"/>
        <v/>
      </c>
      <c r="AV66">
        <v>65</v>
      </c>
      <c r="AW66" t="s">
        <v>43</v>
      </c>
    </row>
    <row r="67" spans="1:49" ht="14.4" hidden="1">
      <c r="A67" s="9">
        <v>66</v>
      </c>
      <c r="B67" s="9" t="s">
        <v>52</v>
      </c>
      <c r="C67" s="10">
        <v>6178661781</v>
      </c>
      <c r="D67" s="9" t="s">
        <v>280</v>
      </c>
      <c r="E67" s="9">
        <f>COUNTIF($C$1:C67,C67)</f>
        <v>1</v>
      </c>
      <c r="F67" s="9" t="str">
        <f t="shared" ref="F67:F130" si="25">C67&amp;E67</f>
        <v>61786617811</v>
      </c>
      <c r="G67" s="9">
        <f t="shared" si="11"/>
        <v>0</v>
      </c>
      <c r="H67" s="9">
        <f t="shared" ref="H67:H130" si="26">IF(IFERROR(FIND("free",LOWER(B67)),0)=0,0,1)</f>
        <v>0</v>
      </c>
      <c r="I67" s="4">
        <v>9144266464</v>
      </c>
      <c r="J67" s="5">
        <f t="shared" ref="J67:J130" si="27">COUNTIF(C:C,I67)</f>
        <v>1</v>
      </c>
      <c r="K67" s="5">
        <f t="shared" si="12"/>
        <v>1</v>
      </c>
      <c r="L67" s="5" t="e">
        <f t="shared" ref="L67:L130" ca="1" si="28">_xlfn.CONCAT(P67:V67)</f>
        <v>#NAME?</v>
      </c>
      <c r="M67" s="5" t="e">
        <f t="shared" ref="M67:M130" ca="1" si="29">_xlfn.CONCAT(Z67:AF67)</f>
        <v>#NAME?</v>
      </c>
      <c r="N67">
        <f t="shared" ref="N67:N130" si="30">J67-K67</f>
        <v>0</v>
      </c>
      <c r="P67">
        <f t="shared" ref="P67:P130" si="31">IFERROR(INDEX($A$2:$A$501,MATCH($I67&amp;P$1,$F$2:$F$501,0)),"")</f>
        <v>103</v>
      </c>
      <c r="Q67" t="str">
        <f t="shared" si="23"/>
        <v/>
      </c>
      <c r="R67" t="str">
        <f t="shared" si="23"/>
        <v/>
      </c>
      <c r="S67" t="str">
        <f t="shared" si="23"/>
        <v/>
      </c>
      <c r="T67" t="str">
        <f t="shared" si="23"/>
        <v/>
      </c>
      <c r="U67" t="str">
        <f t="shared" si="23"/>
        <v/>
      </c>
      <c r="V67" t="str">
        <f t="shared" si="23"/>
        <v/>
      </c>
      <c r="Z67" t="str">
        <f t="shared" ref="Z67:Z130" si="32">IFERROR(INDEX($B$2:$B$501,MATCH($I67&amp;Z$1,$F$2:$F$501,0)),"")</f>
        <v>RAFA JOAO pg</v>
      </c>
      <c r="AA67" t="str">
        <f t="shared" si="24"/>
        <v/>
      </c>
      <c r="AB67" t="str">
        <f t="shared" si="24"/>
        <v/>
      </c>
      <c r="AC67" t="str">
        <f t="shared" si="24"/>
        <v/>
      </c>
      <c r="AD67" t="str">
        <f t="shared" si="24"/>
        <v/>
      </c>
      <c r="AE67" t="str">
        <f t="shared" si="24"/>
        <v/>
      </c>
      <c r="AF67" t="str">
        <f t="shared" si="24"/>
        <v/>
      </c>
      <c r="AV67">
        <v>66</v>
      </c>
      <c r="AW67" t="s">
        <v>52</v>
      </c>
    </row>
    <row r="68" spans="1:49">
      <c r="A68" s="9">
        <v>67</v>
      </c>
      <c r="B68" s="9" t="s">
        <v>9</v>
      </c>
      <c r="C68" s="10">
        <v>9148376239</v>
      </c>
      <c r="D68" s="9" t="s">
        <v>280</v>
      </c>
      <c r="E68" s="9">
        <f>COUNTIF($C$1:C68,C68)</f>
        <v>2</v>
      </c>
      <c r="F68" s="9" t="str">
        <f t="shared" si="25"/>
        <v>91483762392</v>
      </c>
      <c r="G68" s="9">
        <f t="shared" ref="G68:G131" si="33">IF(IFERROR(FIND("pg",LOWER(B68)),0)=0,0,1)</f>
        <v>0</v>
      </c>
      <c r="H68" s="9">
        <f t="shared" si="26"/>
        <v>0</v>
      </c>
      <c r="I68" s="2">
        <v>9146095697</v>
      </c>
      <c r="J68" s="3">
        <f t="shared" si="27"/>
        <v>7</v>
      </c>
      <c r="K68" s="3">
        <f t="shared" si="12"/>
        <v>6</v>
      </c>
      <c r="L68" s="3" t="e">
        <f t="shared" ca="1" si="28"/>
        <v>#NAME?</v>
      </c>
      <c r="M68" s="3" t="e">
        <f t="shared" ca="1" si="29"/>
        <v>#NAME?</v>
      </c>
      <c r="N68">
        <f t="shared" si="30"/>
        <v>1</v>
      </c>
      <c r="P68">
        <f t="shared" si="31"/>
        <v>105</v>
      </c>
      <c r="Q68" t="str">
        <f t="shared" si="23"/>
        <v xml:space="preserve"> ,140</v>
      </c>
      <c r="R68" t="str">
        <f t="shared" si="23"/>
        <v xml:space="preserve"> ,272</v>
      </c>
      <c r="S68" t="str">
        <f t="shared" si="23"/>
        <v xml:space="preserve"> ,275</v>
      </c>
      <c r="T68" t="str">
        <f t="shared" si="23"/>
        <v xml:space="preserve"> ,298</v>
      </c>
      <c r="U68" t="str">
        <f t="shared" si="23"/>
        <v xml:space="preserve"> ,385</v>
      </c>
      <c r="V68" t="str">
        <f t="shared" si="23"/>
        <v xml:space="preserve"> ,488</v>
      </c>
      <c r="Z68" t="str">
        <f t="shared" si="32"/>
        <v>MARCELO ELETRICISTA</v>
      </c>
      <c r="AA68" t="str">
        <f t="shared" si="24"/>
        <v xml:space="preserve"> ,L&amp;m wood floor pg</v>
      </c>
      <c r="AB68" t="str">
        <f t="shared" si="24"/>
        <v xml:space="preserve"> ,L&amp;m wood floor pg</v>
      </c>
      <c r="AC68" t="str">
        <f t="shared" si="24"/>
        <v xml:space="preserve"> ,L&amp;M WOOD FLOOR pg</v>
      </c>
      <c r="AD68" t="str">
        <f t="shared" si="24"/>
        <v xml:space="preserve"> ,L&amp;M wood floor free</v>
      </c>
      <c r="AE68" t="str">
        <f t="shared" si="24"/>
        <v xml:space="preserve"> ,L&amp;M wood floor free</v>
      </c>
      <c r="AF68" t="str">
        <f t="shared" si="24"/>
        <v xml:space="preserve"> ,L&amp;m wood floor free</v>
      </c>
      <c r="AV68">
        <v>67</v>
      </c>
      <c r="AW68" t="s">
        <v>9</v>
      </c>
    </row>
    <row r="69" spans="1:49">
      <c r="A69" s="9">
        <v>68</v>
      </c>
      <c r="B69" s="9" t="s">
        <v>52</v>
      </c>
      <c r="C69" s="10">
        <v>6178661781</v>
      </c>
      <c r="D69" s="9" t="s">
        <v>280</v>
      </c>
      <c r="E69" s="9">
        <f>COUNTIF($C$1:C69,C69)</f>
        <v>2</v>
      </c>
      <c r="F69" s="9" t="str">
        <f t="shared" si="25"/>
        <v>61786617812</v>
      </c>
      <c r="G69" s="9">
        <f t="shared" si="33"/>
        <v>0</v>
      </c>
      <c r="H69" s="9">
        <f t="shared" si="26"/>
        <v>0</v>
      </c>
      <c r="I69" s="4">
        <v>2032432447</v>
      </c>
      <c r="J69" s="5">
        <f t="shared" si="27"/>
        <v>1</v>
      </c>
      <c r="K69" s="5">
        <f t="shared" si="12"/>
        <v>0</v>
      </c>
      <c r="L69" s="5" t="e">
        <f t="shared" ca="1" si="28"/>
        <v>#NAME?</v>
      </c>
      <c r="M69" s="5" t="e">
        <f t="shared" ca="1" si="29"/>
        <v>#NAME?</v>
      </c>
      <c r="N69">
        <f t="shared" si="30"/>
        <v>1</v>
      </c>
      <c r="P69">
        <f t="shared" si="31"/>
        <v>108</v>
      </c>
      <c r="Q69" t="str">
        <f t="shared" si="23"/>
        <v/>
      </c>
      <c r="R69" t="str">
        <f t="shared" si="23"/>
        <v/>
      </c>
      <c r="S69" t="str">
        <f t="shared" si="23"/>
        <v/>
      </c>
      <c r="T69" t="str">
        <f t="shared" si="23"/>
        <v/>
      </c>
      <c r="U69" t="str">
        <f t="shared" si="23"/>
        <v/>
      </c>
      <c r="V69" t="str">
        <f t="shared" si="23"/>
        <v/>
      </c>
      <c r="Z69" t="str">
        <f t="shared" si="32"/>
        <v>WIGNER LIMA</v>
      </c>
      <c r="AA69" t="str">
        <f t="shared" si="24"/>
        <v/>
      </c>
      <c r="AB69" t="str">
        <f t="shared" si="24"/>
        <v/>
      </c>
      <c r="AC69" t="str">
        <f t="shared" si="24"/>
        <v/>
      </c>
      <c r="AD69" t="str">
        <f t="shared" si="24"/>
        <v/>
      </c>
      <c r="AE69" t="str">
        <f t="shared" si="24"/>
        <v/>
      </c>
      <c r="AF69" t="str">
        <f t="shared" si="24"/>
        <v/>
      </c>
      <c r="AV69">
        <v>68</v>
      </c>
      <c r="AW69" t="s">
        <v>52</v>
      </c>
    </row>
    <row r="70" spans="1:49" ht="14.4" hidden="1">
      <c r="A70" s="9">
        <v>69</v>
      </c>
      <c r="B70" s="9" t="s">
        <v>45</v>
      </c>
      <c r="C70" s="10">
        <v>2039538965</v>
      </c>
      <c r="D70" s="9" t="s">
        <v>285</v>
      </c>
      <c r="E70" s="9">
        <f>COUNTIF($C$1:C70,C70)</f>
        <v>3</v>
      </c>
      <c r="F70" s="9" t="str">
        <f t="shared" si="25"/>
        <v>20395389653</v>
      </c>
      <c r="G70" s="9">
        <f t="shared" si="33"/>
        <v>0</v>
      </c>
      <c r="H70" s="9">
        <f t="shared" si="26"/>
        <v>0</v>
      </c>
      <c r="I70" s="2">
        <v>9148302799</v>
      </c>
      <c r="J70" s="3">
        <f t="shared" si="27"/>
        <v>4</v>
      </c>
      <c r="K70" s="3">
        <f t="shared" ref="K70:K133" si="34">COUNTIFS(C:C,I70,G:G,1)+COUNTIFS(C:C,I70,H:H,1)</f>
        <v>4</v>
      </c>
      <c r="L70" s="3" t="e">
        <f t="shared" ca="1" si="28"/>
        <v>#NAME?</v>
      </c>
      <c r="M70" s="3" t="e">
        <f t="shared" ca="1" si="29"/>
        <v>#NAME?</v>
      </c>
      <c r="N70">
        <f t="shared" si="30"/>
        <v>0</v>
      </c>
      <c r="P70">
        <f t="shared" si="31"/>
        <v>111</v>
      </c>
      <c r="Q70" t="str">
        <f t="shared" si="23"/>
        <v xml:space="preserve"> ,387</v>
      </c>
      <c r="R70" t="str">
        <f t="shared" si="23"/>
        <v xml:space="preserve"> ,411</v>
      </c>
      <c r="S70" t="str">
        <f t="shared" si="23"/>
        <v xml:space="preserve"> ,487</v>
      </c>
      <c r="T70" t="str">
        <f t="shared" si="23"/>
        <v/>
      </c>
      <c r="U70" t="str">
        <f t="shared" si="23"/>
        <v/>
      </c>
      <c r="V70" t="str">
        <f t="shared" si="23"/>
        <v/>
      </c>
      <c r="Z70" t="str">
        <f t="shared" si="32"/>
        <v>RONAN pg</v>
      </c>
      <c r="AA70" t="str">
        <f t="shared" si="24"/>
        <v xml:space="preserve"> ,Ronan (Empire home solution)pg</v>
      </c>
      <c r="AB70" t="str">
        <f t="shared" si="24"/>
        <v xml:space="preserve"> ,Ronan (Empire home solution)pg</v>
      </c>
      <c r="AC70" t="str">
        <f t="shared" si="24"/>
        <v xml:space="preserve"> ,Ronan (Empire home solution) free</v>
      </c>
      <c r="AD70" t="str">
        <f t="shared" si="24"/>
        <v/>
      </c>
      <c r="AE70" t="str">
        <f t="shared" si="24"/>
        <v/>
      </c>
      <c r="AF70" t="str">
        <f t="shared" si="24"/>
        <v/>
      </c>
      <c r="AV70">
        <v>69</v>
      </c>
      <c r="AW70" t="s">
        <v>45</v>
      </c>
    </row>
    <row r="71" spans="1:49">
      <c r="A71" s="9">
        <v>70</v>
      </c>
      <c r="B71" s="9" t="s">
        <v>53</v>
      </c>
      <c r="C71" s="10"/>
      <c r="D71" s="9" t="s">
        <v>281</v>
      </c>
      <c r="E71" s="9">
        <f>COUNTIF($C$1:C71,C71)</f>
        <v>0</v>
      </c>
      <c r="F71" s="9" t="str">
        <f t="shared" si="25"/>
        <v>0</v>
      </c>
      <c r="G71" s="9">
        <f t="shared" si="33"/>
        <v>0</v>
      </c>
      <c r="H71" s="9">
        <f t="shared" si="26"/>
        <v>0</v>
      </c>
      <c r="I71" s="4">
        <v>2035456330</v>
      </c>
      <c r="J71" s="5">
        <f t="shared" si="27"/>
        <v>4</v>
      </c>
      <c r="K71" s="5">
        <f t="shared" si="34"/>
        <v>0</v>
      </c>
      <c r="L71" s="5" t="e">
        <f t="shared" ca="1" si="28"/>
        <v>#NAME?</v>
      </c>
      <c r="M71" s="5" t="e">
        <f t="shared" ca="1" si="29"/>
        <v>#NAME?</v>
      </c>
      <c r="N71">
        <f t="shared" si="30"/>
        <v>4</v>
      </c>
      <c r="P71">
        <f t="shared" si="31"/>
        <v>113</v>
      </c>
      <c r="Q71" t="str">
        <f t="shared" si="23"/>
        <v xml:space="preserve"> ,118</v>
      </c>
      <c r="R71" t="str">
        <f t="shared" si="23"/>
        <v xml:space="preserve"> ,131</v>
      </c>
      <c r="S71" t="str">
        <f t="shared" si="23"/>
        <v xml:space="preserve"> ,144</v>
      </c>
      <c r="T71" t="str">
        <f t="shared" si="23"/>
        <v/>
      </c>
      <c r="U71" t="str">
        <f t="shared" si="23"/>
        <v/>
      </c>
      <c r="V71" t="str">
        <f t="shared" si="23"/>
        <v/>
      </c>
      <c r="Z71" t="str">
        <f t="shared" si="32"/>
        <v>RONIVON</v>
      </c>
      <c r="AA71" t="str">
        <f t="shared" si="24"/>
        <v xml:space="preserve"> ,RONIVON</v>
      </c>
      <c r="AB71" t="str">
        <f t="shared" si="24"/>
        <v xml:space="preserve"> ,RONIVON</v>
      </c>
      <c r="AC71" t="str">
        <f t="shared" si="24"/>
        <v xml:space="preserve"> ,RONIVON</v>
      </c>
      <c r="AD71" t="str">
        <f t="shared" si="24"/>
        <v/>
      </c>
      <c r="AE71" t="str">
        <f t="shared" si="24"/>
        <v/>
      </c>
      <c r="AF71" t="str">
        <f t="shared" si="24"/>
        <v/>
      </c>
      <c r="AV71">
        <v>70</v>
      </c>
      <c r="AW71" t="s">
        <v>53</v>
      </c>
    </row>
    <row r="72" spans="1:49">
      <c r="A72" s="9">
        <v>71</v>
      </c>
      <c r="B72" s="9" t="s">
        <v>54</v>
      </c>
      <c r="C72" s="10"/>
      <c r="D72" s="9" t="s">
        <v>281</v>
      </c>
      <c r="E72" s="9">
        <f>COUNTIF($C$1:C72,C72)</f>
        <v>0</v>
      </c>
      <c r="F72" s="9" t="str">
        <f t="shared" si="25"/>
        <v>0</v>
      </c>
      <c r="G72" s="9">
        <f t="shared" si="33"/>
        <v>0</v>
      </c>
      <c r="H72" s="9">
        <f t="shared" si="26"/>
        <v>0</v>
      </c>
      <c r="I72" s="2">
        <v>4752142518</v>
      </c>
      <c r="J72" s="3">
        <f t="shared" si="27"/>
        <v>1</v>
      </c>
      <c r="K72" s="3">
        <f t="shared" si="34"/>
        <v>0</v>
      </c>
      <c r="L72" s="3" t="e">
        <f t="shared" ca="1" si="28"/>
        <v>#NAME?</v>
      </c>
      <c r="M72" s="3" t="e">
        <f t="shared" ca="1" si="29"/>
        <v>#NAME?</v>
      </c>
      <c r="N72">
        <f t="shared" si="30"/>
        <v>1</v>
      </c>
      <c r="P72">
        <f t="shared" si="31"/>
        <v>114</v>
      </c>
      <c r="Q72" t="str">
        <f t="shared" ref="Q72:V81" si="35">IFERROR(" ,"&amp;INDEX($A$2:$A$501,MATCH($I72&amp;Q$1,$F$2:$F$501,0)),"")</f>
        <v/>
      </c>
      <c r="R72" t="str">
        <f t="shared" si="35"/>
        <v/>
      </c>
      <c r="S72" t="str">
        <f t="shared" si="35"/>
        <v/>
      </c>
      <c r="T72" t="str">
        <f t="shared" si="35"/>
        <v/>
      </c>
      <c r="U72" t="str">
        <f t="shared" si="35"/>
        <v/>
      </c>
      <c r="V72" t="str">
        <f t="shared" si="35"/>
        <v/>
      </c>
      <c r="Z72" t="str">
        <f t="shared" si="32"/>
        <v>Jonata</v>
      </c>
      <c r="AA72" t="str">
        <f t="shared" ref="AA72:AF81" si="36">IFERROR(" ,"&amp;INDEX($B$2:$B$501,MATCH($I72&amp;AA$1,$F$2:$F$501,0)),"")</f>
        <v/>
      </c>
      <c r="AB72" t="str">
        <f t="shared" si="36"/>
        <v/>
      </c>
      <c r="AC72" t="str">
        <f t="shared" si="36"/>
        <v/>
      </c>
      <c r="AD72" t="str">
        <f t="shared" si="36"/>
        <v/>
      </c>
      <c r="AE72" t="str">
        <f t="shared" si="36"/>
        <v/>
      </c>
      <c r="AF72" t="str">
        <f t="shared" si="36"/>
        <v/>
      </c>
      <c r="AV72">
        <v>71</v>
      </c>
      <c r="AW72" t="s">
        <v>54</v>
      </c>
    </row>
    <row r="73" spans="1:49" ht="14.4" hidden="1">
      <c r="A73" s="9">
        <v>72</v>
      </c>
      <c r="B73" s="9" t="s">
        <v>11</v>
      </c>
      <c r="C73" s="10">
        <v>2039817839</v>
      </c>
      <c r="D73" s="9" t="s">
        <v>280</v>
      </c>
      <c r="E73" s="9">
        <f>COUNTIF($C$1:C73,C73)</f>
        <v>5</v>
      </c>
      <c r="F73" s="9" t="str">
        <f t="shared" si="25"/>
        <v>20398178395</v>
      </c>
      <c r="G73" s="9">
        <f t="shared" si="33"/>
        <v>0</v>
      </c>
      <c r="H73" s="9">
        <f t="shared" si="26"/>
        <v>0</v>
      </c>
      <c r="I73" s="4">
        <v>2035192109</v>
      </c>
      <c r="J73" s="5">
        <f t="shared" si="27"/>
        <v>1</v>
      </c>
      <c r="K73" s="5">
        <f t="shared" si="34"/>
        <v>1</v>
      </c>
      <c r="L73" s="5" t="e">
        <f t="shared" ca="1" si="28"/>
        <v>#NAME?</v>
      </c>
      <c r="M73" s="5" t="e">
        <f t="shared" ca="1" si="29"/>
        <v>#NAME?</v>
      </c>
      <c r="N73">
        <f t="shared" si="30"/>
        <v>0</v>
      </c>
      <c r="P73">
        <f t="shared" si="31"/>
        <v>115</v>
      </c>
      <c r="Q73" t="str">
        <f t="shared" si="35"/>
        <v/>
      </c>
      <c r="R73" t="str">
        <f t="shared" si="35"/>
        <v/>
      </c>
      <c r="S73" t="str">
        <f t="shared" si="35"/>
        <v/>
      </c>
      <c r="T73" t="str">
        <f t="shared" si="35"/>
        <v/>
      </c>
      <c r="U73" t="str">
        <f t="shared" si="35"/>
        <v/>
      </c>
      <c r="V73" t="str">
        <f t="shared" si="35"/>
        <v/>
      </c>
      <c r="Z73" t="str">
        <f t="shared" si="32"/>
        <v>Vandao pg</v>
      </c>
      <c r="AA73" t="str">
        <f t="shared" si="36"/>
        <v/>
      </c>
      <c r="AB73" t="str">
        <f t="shared" si="36"/>
        <v/>
      </c>
      <c r="AC73" t="str">
        <f t="shared" si="36"/>
        <v/>
      </c>
      <c r="AD73" t="str">
        <f t="shared" si="36"/>
        <v/>
      </c>
      <c r="AE73" t="str">
        <f t="shared" si="36"/>
        <v/>
      </c>
      <c r="AF73" t="str">
        <f t="shared" si="36"/>
        <v/>
      </c>
      <c r="AV73">
        <v>72</v>
      </c>
      <c r="AW73" t="s">
        <v>11</v>
      </c>
    </row>
    <row r="74" spans="1:49" ht="14.4" hidden="1">
      <c r="A74" s="9">
        <v>73</v>
      </c>
      <c r="B74" s="9" t="s">
        <v>55</v>
      </c>
      <c r="C74" s="10">
        <v>9144003667</v>
      </c>
      <c r="D74" s="9" t="s">
        <v>280</v>
      </c>
      <c r="E74" s="9">
        <f>COUNTIF($C$1:C74,C74)</f>
        <v>1</v>
      </c>
      <c r="F74" s="9" t="str">
        <f t="shared" si="25"/>
        <v>91440036671</v>
      </c>
      <c r="G74" s="9">
        <f t="shared" si="33"/>
        <v>0</v>
      </c>
      <c r="H74" s="9">
        <f t="shared" si="26"/>
        <v>0</v>
      </c>
      <c r="I74" s="2">
        <v>2034909082</v>
      </c>
      <c r="J74" s="3">
        <f t="shared" si="27"/>
        <v>1</v>
      </c>
      <c r="K74" s="3">
        <f t="shared" si="34"/>
        <v>1</v>
      </c>
      <c r="L74" s="3" t="e">
        <f t="shared" ca="1" si="28"/>
        <v>#NAME?</v>
      </c>
      <c r="M74" s="3" t="e">
        <f t="shared" ca="1" si="29"/>
        <v>#NAME?</v>
      </c>
      <c r="N74">
        <f t="shared" si="30"/>
        <v>0</v>
      </c>
      <c r="P74">
        <f t="shared" si="31"/>
        <v>116</v>
      </c>
      <c r="Q74" t="str">
        <f t="shared" si="35"/>
        <v/>
      </c>
      <c r="R74" t="str">
        <f t="shared" si="35"/>
        <v/>
      </c>
      <c r="S74" t="str">
        <f t="shared" si="35"/>
        <v/>
      </c>
      <c r="T74" t="str">
        <f t="shared" si="35"/>
        <v/>
      </c>
      <c r="U74" t="str">
        <f t="shared" si="35"/>
        <v/>
      </c>
      <c r="V74" t="str">
        <f t="shared" si="35"/>
        <v/>
      </c>
      <c r="Z74" t="str">
        <f t="shared" si="32"/>
        <v>Lucas samorá pg</v>
      </c>
      <c r="AA74" t="str">
        <f t="shared" si="36"/>
        <v/>
      </c>
      <c r="AB74" t="str">
        <f t="shared" si="36"/>
        <v/>
      </c>
      <c r="AC74" t="str">
        <f t="shared" si="36"/>
        <v/>
      </c>
      <c r="AD74" t="str">
        <f t="shared" si="36"/>
        <v/>
      </c>
      <c r="AE74" t="str">
        <f t="shared" si="36"/>
        <v/>
      </c>
      <c r="AF74" t="str">
        <f t="shared" si="36"/>
        <v/>
      </c>
      <c r="AV74">
        <v>73</v>
      </c>
      <c r="AW74" t="s">
        <v>55</v>
      </c>
    </row>
    <row r="75" spans="1:49">
      <c r="A75" s="9">
        <v>74</v>
      </c>
      <c r="B75" s="9" t="s">
        <v>12</v>
      </c>
      <c r="C75" s="10">
        <v>2039817839</v>
      </c>
      <c r="D75" s="9" t="s">
        <v>280</v>
      </c>
      <c r="E75" s="9">
        <f>COUNTIF($C$1:C75,C75)</f>
        <v>6</v>
      </c>
      <c r="F75" s="9" t="str">
        <f t="shared" si="25"/>
        <v>20398178396</v>
      </c>
      <c r="G75" s="9">
        <f t="shared" si="33"/>
        <v>0</v>
      </c>
      <c r="H75" s="9">
        <f t="shared" si="26"/>
        <v>0</v>
      </c>
      <c r="I75" s="4">
        <v>2034029369</v>
      </c>
      <c r="J75" s="5">
        <f t="shared" si="27"/>
        <v>1</v>
      </c>
      <c r="K75" s="5">
        <f t="shared" si="34"/>
        <v>0</v>
      </c>
      <c r="L75" s="5" t="e">
        <f t="shared" ca="1" si="28"/>
        <v>#NAME?</v>
      </c>
      <c r="M75" s="5" t="e">
        <f t="shared" ca="1" si="29"/>
        <v>#NAME?</v>
      </c>
      <c r="N75">
        <f t="shared" si="30"/>
        <v>1</v>
      </c>
      <c r="P75">
        <f t="shared" si="31"/>
        <v>117</v>
      </c>
      <c r="Q75" t="str">
        <f t="shared" si="35"/>
        <v/>
      </c>
      <c r="R75" t="str">
        <f t="shared" si="35"/>
        <v/>
      </c>
      <c r="S75" t="str">
        <f t="shared" si="35"/>
        <v/>
      </c>
      <c r="T75" t="str">
        <f t="shared" si="35"/>
        <v/>
      </c>
      <c r="U75" t="str">
        <f t="shared" si="35"/>
        <v/>
      </c>
      <c r="V75" t="str">
        <f t="shared" si="35"/>
        <v/>
      </c>
      <c r="Z75" t="str">
        <f t="shared" si="32"/>
        <v>Paulo</v>
      </c>
      <c r="AA75" t="str">
        <f t="shared" si="36"/>
        <v/>
      </c>
      <c r="AB75" t="str">
        <f t="shared" si="36"/>
        <v/>
      </c>
      <c r="AC75" t="str">
        <f t="shared" si="36"/>
        <v/>
      </c>
      <c r="AD75" t="str">
        <f t="shared" si="36"/>
        <v/>
      </c>
      <c r="AE75" t="str">
        <f t="shared" si="36"/>
        <v/>
      </c>
      <c r="AF75" t="str">
        <f t="shared" si="36"/>
        <v/>
      </c>
      <c r="AV75">
        <v>74</v>
      </c>
      <c r="AW75" t="s">
        <v>12</v>
      </c>
    </row>
    <row r="76" spans="1:49" ht="14.4" hidden="1">
      <c r="A76" s="9">
        <v>75</v>
      </c>
      <c r="B76" s="9" t="s">
        <v>56</v>
      </c>
      <c r="C76" s="10">
        <v>2036006922</v>
      </c>
      <c r="D76" s="9" t="s">
        <v>280</v>
      </c>
      <c r="E76" s="9">
        <f>COUNTIF($C$1:C76,C76)</f>
        <v>1</v>
      </c>
      <c r="F76" s="9" t="str">
        <f t="shared" si="25"/>
        <v>20360069221</v>
      </c>
      <c r="G76" s="9">
        <f t="shared" si="33"/>
        <v>0</v>
      </c>
      <c r="H76" s="9">
        <f t="shared" si="26"/>
        <v>0</v>
      </c>
      <c r="I76" s="2">
        <v>2035218381</v>
      </c>
      <c r="J76" s="3">
        <f t="shared" si="27"/>
        <v>4</v>
      </c>
      <c r="K76" s="3">
        <f t="shared" si="34"/>
        <v>4</v>
      </c>
      <c r="L76" s="3" t="e">
        <f t="shared" ca="1" si="28"/>
        <v>#NAME?</v>
      </c>
      <c r="M76" s="3" t="e">
        <f t="shared" ca="1" si="29"/>
        <v>#NAME?</v>
      </c>
      <c r="N76">
        <f t="shared" si="30"/>
        <v>0</v>
      </c>
      <c r="P76">
        <f t="shared" si="31"/>
        <v>122</v>
      </c>
      <c r="Q76" t="str">
        <f t="shared" si="35"/>
        <v xml:space="preserve"> ,177</v>
      </c>
      <c r="R76" t="str">
        <f t="shared" si="35"/>
        <v xml:space="preserve"> ,178</v>
      </c>
      <c r="S76" t="str">
        <f t="shared" si="35"/>
        <v xml:space="preserve"> ,279</v>
      </c>
      <c r="T76" t="str">
        <f t="shared" si="35"/>
        <v/>
      </c>
      <c r="U76" t="str">
        <f t="shared" si="35"/>
        <v/>
      </c>
      <c r="V76" t="str">
        <f t="shared" si="35"/>
        <v/>
      </c>
      <c r="Z76" t="str">
        <f t="shared" si="32"/>
        <v>Gilmar Schmidt pg</v>
      </c>
      <c r="AA76" t="str">
        <f t="shared" si="36"/>
        <v xml:space="preserve"> ,Gilmar Schmidt pg</v>
      </c>
      <c r="AB76" t="str">
        <f t="shared" si="36"/>
        <v xml:space="preserve"> ,Gilmar Schmidt pg</v>
      </c>
      <c r="AC76" t="str">
        <f t="shared" si="36"/>
        <v xml:space="preserve"> ,Gilmar Schmidt freee</v>
      </c>
      <c r="AD76" t="str">
        <f t="shared" si="36"/>
        <v/>
      </c>
      <c r="AE76" t="str">
        <f t="shared" si="36"/>
        <v/>
      </c>
      <c r="AF76" t="str">
        <f t="shared" si="36"/>
        <v/>
      </c>
      <c r="AV76">
        <v>75</v>
      </c>
      <c r="AW76" t="s">
        <v>56</v>
      </c>
    </row>
    <row r="77" spans="1:49">
      <c r="A77" s="9">
        <v>76</v>
      </c>
      <c r="B77" s="9" t="s">
        <v>57</v>
      </c>
      <c r="C77" s="10">
        <v>2035719888</v>
      </c>
      <c r="D77" s="9" t="s">
        <v>280</v>
      </c>
      <c r="E77" s="9">
        <f>COUNTIF($C$1:C77,C77)</f>
        <v>1</v>
      </c>
      <c r="F77" s="9" t="str">
        <f t="shared" si="25"/>
        <v>20357198881</v>
      </c>
      <c r="G77" s="9">
        <f t="shared" si="33"/>
        <v>0</v>
      </c>
      <c r="H77" s="9">
        <f t="shared" si="26"/>
        <v>0</v>
      </c>
      <c r="I77" s="4">
        <v>9144979492</v>
      </c>
      <c r="J77" s="5">
        <f t="shared" si="27"/>
        <v>1</v>
      </c>
      <c r="K77" s="5">
        <f t="shared" si="34"/>
        <v>0</v>
      </c>
      <c r="L77" s="5" t="e">
        <f t="shared" ca="1" si="28"/>
        <v>#NAME?</v>
      </c>
      <c r="M77" s="5" t="e">
        <f t="shared" ca="1" si="29"/>
        <v>#NAME?</v>
      </c>
      <c r="N77">
        <f t="shared" si="30"/>
        <v>1</v>
      </c>
      <c r="P77">
        <f t="shared" si="31"/>
        <v>123</v>
      </c>
      <c r="Q77" t="str">
        <f t="shared" si="35"/>
        <v/>
      </c>
      <c r="R77" t="str">
        <f t="shared" si="35"/>
        <v/>
      </c>
      <c r="S77" t="str">
        <f t="shared" si="35"/>
        <v/>
      </c>
      <c r="T77" t="str">
        <f t="shared" si="35"/>
        <v/>
      </c>
      <c r="U77" t="str">
        <f t="shared" si="35"/>
        <v/>
      </c>
      <c r="V77" t="str">
        <f t="shared" si="35"/>
        <v/>
      </c>
      <c r="Z77" t="str">
        <f t="shared" si="32"/>
        <v>FABIANE</v>
      </c>
      <c r="AA77" t="str">
        <f t="shared" si="36"/>
        <v/>
      </c>
      <c r="AB77" t="str">
        <f t="shared" si="36"/>
        <v/>
      </c>
      <c r="AC77" t="str">
        <f t="shared" si="36"/>
        <v/>
      </c>
      <c r="AD77" t="str">
        <f t="shared" si="36"/>
        <v/>
      </c>
      <c r="AE77" t="str">
        <f t="shared" si="36"/>
        <v/>
      </c>
      <c r="AF77" t="str">
        <f t="shared" si="36"/>
        <v/>
      </c>
      <c r="AV77">
        <v>76</v>
      </c>
      <c r="AW77" t="s">
        <v>57</v>
      </c>
    </row>
    <row r="78" spans="1:49">
      <c r="A78" s="9">
        <v>77</v>
      </c>
      <c r="B78" s="9" t="s">
        <v>58</v>
      </c>
      <c r="C78" s="10">
        <v>9145650041</v>
      </c>
      <c r="D78" s="9" t="s">
        <v>287</v>
      </c>
      <c r="E78" s="9">
        <f>COUNTIF($C$1:C78,C78)</f>
        <v>1</v>
      </c>
      <c r="F78" s="9" t="str">
        <f t="shared" si="25"/>
        <v>91456500411</v>
      </c>
      <c r="G78" s="9">
        <f t="shared" si="33"/>
        <v>0</v>
      </c>
      <c r="H78" s="9">
        <f t="shared" si="26"/>
        <v>0</v>
      </c>
      <c r="I78" s="2">
        <v>9143190338</v>
      </c>
      <c r="J78" s="3">
        <f t="shared" si="27"/>
        <v>4</v>
      </c>
      <c r="K78" s="3">
        <f t="shared" si="34"/>
        <v>2</v>
      </c>
      <c r="L78" s="3" t="e">
        <f t="shared" ca="1" si="28"/>
        <v>#NAME?</v>
      </c>
      <c r="M78" s="3" t="e">
        <f t="shared" ca="1" si="29"/>
        <v>#NAME?</v>
      </c>
      <c r="N78">
        <f t="shared" si="30"/>
        <v>2</v>
      </c>
      <c r="P78">
        <f t="shared" si="31"/>
        <v>124</v>
      </c>
      <c r="Q78" t="str">
        <f t="shared" si="35"/>
        <v xml:space="preserve"> ,329</v>
      </c>
      <c r="R78" t="str">
        <f t="shared" si="35"/>
        <v xml:space="preserve"> ,416</v>
      </c>
      <c r="S78" t="str">
        <f t="shared" si="35"/>
        <v xml:space="preserve"> ,462</v>
      </c>
      <c r="T78" t="str">
        <f t="shared" si="35"/>
        <v/>
      </c>
      <c r="U78" t="str">
        <f t="shared" si="35"/>
        <v/>
      </c>
      <c r="V78" t="str">
        <f t="shared" si="35"/>
        <v/>
      </c>
      <c r="Z78" t="str">
        <f t="shared" si="32"/>
        <v>JONH pg</v>
      </c>
      <c r="AA78" t="str">
        <f t="shared" si="36"/>
        <v xml:space="preserve"> ,Thiago / Jon</v>
      </c>
      <c r="AB78" t="str">
        <f t="shared" si="36"/>
        <v xml:space="preserve"> ,Thiago / Jon</v>
      </c>
      <c r="AC78" t="str">
        <f t="shared" si="36"/>
        <v xml:space="preserve"> ,Thiago / Jon free</v>
      </c>
      <c r="AD78" t="str">
        <f t="shared" si="36"/>
        <v/>
      </c>
      <c r="AE78" t="str">
        <f t="shared" si="36"/>
        <v/>
      </c>
      <c r="AF78" t="str">
        <f t="shared" si="36"/>
        <v/>
      </c>
      <c r="AV78">
        <v>77</v>
      </c>
      <c r="AW78" t="s">
        <v>58</v>
      </c>
    </row>
    <row r="79" spans="1:49" ht="14.4" hidden="1">
      <c r="A79" s="9">
        <v>78</v>
      </c>
      <c r="B79" s="9" t="s">
        <v>59</v>
      </c>
      <c r="C79" s="10">
        <v>2039819598</v>
      </c>
      <c r="D79" s="9" t="s">
        <v>280</v>
      </c>
      <c r="E79" s="9">
        <f>COUNTIF($C$1:C79,C79)</f>
        <v>1</v>
      </c>
      <c r="F79" s="9" t="str">
        <f t="shared" si="25"/>
        <v>20398195981</v>
      </c>
      <c r="G79" s="9">
        <f t="shared" si="33"/>
        <v>1</v>
      </c>
      <c r="H79" s="9">
        <f t="shared" si="26"/>
        <v>0</v>
      </c>
      <c r="I79" s="4">
        <v>9149060181</v>
      </c>
      <c r="J79" s="5">
        <f t="shared" si="27"/>
        <v>1</v>
      </c>
      <c r="K79" s="5">
        <f t="shared" si="34"/>
        <v>1</v>
      </c>
      <c r="L79" s="5" t="e">
        <f t="shared" ca="1" si="28"/>
        <v>#NAME?</v>
      </c>
      <c r="M79" s="5" t="e">
        <f t="shared" ca="1" si="29"/>
        <v>#NAME?</v>
      </c>
      <c r="N79">
        <f t="shared" si="30"/>
        <v>0</v>
      </c>
      <c r="P79">
        <f t="shared" si="31"/>
        <v>125</v>
      </c>
      <c r="Q79" t="str">
        <f t="shared" si="35"/>
        <v/>
      </c>
      <c r="R79" t="str">
        <f t="shared" si="35"/>
        <v/>
      </c>
      <c r="S79" t="str">
        <f t="shared" si="35"/>
        <v/>
      </c>
      <c r="T79" t="str">
        <f t="shared" si="35"/>
        <v/>
      </c>
      <c r="U79" t="str">
        <f t="shared" si="35"/>
        <v/>
      </c>
      <c r="V79" t="str">
        <f t="shared" si="35"/>
        <v/>
      </c>
      <c r="Z79" t="str">
        <f t="shared" si="32"/>
        <v>MARCELO ZANETTI pg</v>
      </c>
      <c r="AA79" t="str">
        <f t="shared" si="36"/>
        <v/>
      </c>
      <c r="AB79" t="str">
        <f t="shared" si="36"/>
        <v/>
      </c>
      <c r="AC79" t="str">
        <f t="shared" si="36"/>
        <v/>
      </c>
      <c r="AD79" t="str">
        <f t="shared" si="36"/>
        <v/>
      </c>
      <c r="AE79" t="str">
        <f t="shared" si="36"/>
        <v/>
      </c>
      <c r="AF79" t="str">
        <f t="shared" si="36"/>
        <v/>
      </c>
      <c r="AV79">
        <v>78</v>
      </c>
      <c r="AW79" t="s">
        <v>59</v>
      </c>
    </row>
    <row r="80" spans="1:49">
      <c r="A80" s="9">
        <v>79</v>
      </c>
      <c r="B80" s="9" t="s">
        <v>60</v>
      </c>
      <c r="C80" s="10">
        <v>5615309805</v>
      </c>
      <c r="D80" s="9" t="s">
        <v>280</v>
      </c>
      <c r="E80" s="9">
        <f>COUNTIF($C$1:C80,C80)</f>
        <v>1</v>
      </c>
      <c r="F80" s="9" t="str">
        <f t="shared" si="25"/>
        <v>56153098051</v>
      </c>
      <c r="G80" s="9">
        <f t="shared" si="33"/>
        <v>0</v>
      </c>
      <c r="H80" s="9">
        <f t="shared" si="26"/>
        <v>0</v>
      </c>
      <c r="I80" s="2">
        <v>2039123543</v>
      </c>
      <c r="J80" s="3">
        <f t="shared" si="27"/>
        <v>3</v>
      </c>
      <c r="K80" s="3">
        <f t="shared" si="34"/>
        <v>0</v>
      </c>
      <c r="L80" s="3" t="e">
        <f t="shared" ca="1" si="28"/>
        <v>#NAME?</v>
      </c>
      <c r="M80" s="3" t="e">
        <f t="shared" ca="1" si="29"/>
        <v>#NAME?</v>
      </c>
      <c r="N80">
        <f t="shared" si="30"/>
        <v>3</v>
      </c>
      <c r="P80">
        <f t="shared" si="31"/>
        <v>127</v>
      </c>
      <c r="Q80" t="str">
        <f t="shared" si="35"/>
        <v xml:space="preserve"> ,304</v>
      </c>
      <c r="R80" t="str">
        <f t="shared" si="35"/>
        <v xml:space="preserve"> ,361</v>
      </c>
      <c r="S80" t="str">
        <f t="shared" si="35"/>
        <v/>
      </c>
      <c r="T80" t="str">
        <f t="shared" si="35"/>
        <v/>
      </c>
      <c r="U80" t="str">
        <f t="shared" si="35"/>
        <v/>
      </c>
      <c r="V80" t="str">
        <f t="shared" si="35"/>
        <v/>
      </c>
      <c r="Z80" t="str">
        <f t="shared" si="32"/>
        <v>MARIO</v>
      </c>
      <c r="AA80" t="str">
        <f t="shared" si="36"/>
        <v xml:space="preserve"> ,Mário Paiva</v>
      </c>
      <c r="AB80" t="str">
        <f t="shared" si="36"/>
        <v xml:space="preserve"> ,Mário Paiva</v>
      </c>
      <c r="AC80" t="str">
        <f t="shared" si="36"/>
        <v/>
      </c>
      <c r="AD80" t="str">
        <f t="shared" si="36"/>
        <v/>
      </c>
      <c r="AE80" t="str">
        <f t="shared" si="36"/>
        <v/>
      </c>
      <c r="AF80" t="str">
        <f t="shared" si="36"/>
        <v/>
      </c>
      <c r="AV80">
        <v>79</v>
      </c>
      <c r="AW80" t="s">
        <v>60</v>
      </c>
    </row>
    <row r="81" spans="1:49">
      <c r="A81" s="9">
        <v>80</v>
      </c>
      <c r="B81" s="9" t="s">
        <v>61</v>
      </c>
      <c r="C81" s="10"/>
      <c r="D81" s="9" t="s">
        <v>281</v>
      </c>
      <c r="E81" s="9">
        <f>COUNTIF($C$1:C81,C81)</f>
        <v>0</v>
      </c>
      <c r="F81" s="9" t="str">
        <f t="shared" si="25"/>
        <v>0</v>
      </c>
      <c r="G81" s="9">
        <f t="shared" si="33"/>
        <v>0</v>
      </c>
      <c r="H81" s="9">
        <f t="shared" si="26"/>
        <v>0</v>
      </c>
      <c r="I81" s="4">
        <v>4752368737</v>
      </c>
      <c r="J81" s="5">
        <f t="shared" si="27"/>
        <v>3</v>
      </c>
      <c r="K81" s="5">
        <f t="shared" si="34"/>
        <v>1</v>
      </c>
      <c r="L81" s="5" t="e">
        <f t="shared" ca="1" si="28"/>
        <v>#NAME?</v>
      </c>
      <c r="M81" s="5" t="e">
        <f t="shared" ca="1" si="29"/>
        <v>#NAME?</v>
      </c>
      <c r="N81">
        <f t="shared" si="30"/>
        <v>2</v>
      </c>
      <c r="P81">
        <f t="shared" si="31"/>
        <v>130</v>
      </c>
      <c r="Q81" t="str">
        <f t="shared" si="35"/>
        <v xml:space="preserve"> ,145</v>
      </c>
      <c r="R81" t="str">
        <f t="shared" si="35"/>
        <v xml:space="preserve"> ,421</v>
      </c>
      <c r="S81" t="str">
        <f t="shared" si="35"/>
        <v/>
      </c>
      <c r="T81" t="str">
        <f t="shared" si="35"/>
        <v/>
      </c>
      <c r="U81" t="str">
        <f t="shared" si="35"/>
        <v/>
      </c>
      <c r="V81" t="str">
        <f t="shared" si="35"/>
        <v/>
      </c>
      <c r="Z81" t="str">
        <f t="shared" si="32"/>
        <v>Felipe Pimentel</v>
      </c>
      <c r="AA81" t="str">
        <f t="shared" si="36"/>
        <v xml:space="preserve"> ,Felipe Pimentel freee</v>
      </c>
      <c r="AB81" t="str">
        <f t="shared" si="36"/>
        <v xml:space="preserve"> ,Felipe Pimentel</v>
      </c>
      <c r="AC81" t="str">
        <f t="shared" si="36"/>
        <v/>
      </c>
      <c r="AD81" t="str">
        <f t="shared" si="36"/>
        <v/>
      </c>
      <c r="AE81" t="str">
        <f t="shared" si="36"/>
        <v/>
      </c>
      <c r="AF81" t="str">
        <f t="shared" si="36"/>
        <v/>
      </c>
      <c r="AV81">
        <v>80</v>
      </c>
      <c r="AW81" t="s">
        <v>61</v>
      </c>
    </row>
    <row r="82" spans="1:49">
      <c r="A82" s="9">
        <v>81</v>
      </c>
      <c r="B82" s="9" t="s">
        <v>58</v>
      </c>
      <c r="C82" s="10">
        <v>9144175819</v>
      </c>
      <c r="D82" s="9" t="s">
        <v>280</v>
      </c>
      <c r="E82" s="9">
        <f>COUNTIF($C$1:C82,C82)</f>
        <v>1</v>
      </c>
      <c r="F82" s="9" t="str">
        <f t="shared" si="25"/>
        <v>91441758191</v>
      </c>
      <c r="G82" s="9">
        <f t="shared" si="33"/>
        <v>0</v>
      </c>
      <c r="H82" s="9">
        <f t="shared" si="26"/>
        <v>0</v>
      </c>
      <c r="I82" s="2">
        <v>2032472211</v>
      </c>
      <c r="J82" s="3">
        <f t="shared" si="27"/>
        <v>2</v>
      </c>
      <c r="K82" s="3">
        <f t="shared" si="34"/>
        <v>0</v>
      </c>
      <c r="L82" s="3" t="e">
        <f t="shared" ca="1" si="28"/>
        <v>#NAME?</v>
      </c>
      <c r="M82" s="3" t="e">
        <f t="shared" ca="1" si="29"/>
        <v>#NAME?</v>
      </c>
      <c r="N82">
        <f t="shared" si="30"/>
        <v>2</v>
      </c>
      <c r="P82">
        <f t="shared" si="31"/>
        <v>132</v>
      </c>
      <c r="Q82" t="str">
        <f t="shared" ref="Q82:V91" si="37">IFERROR(" ,"&amp;INDEX($A$2:$A$501,MATCH($I82&amp;Q$1,$F$2:$F$501,0)),"")</f>
        <v xml:space="preserve"> ,224</v>
      </c>
      <c r="R82" t="str">
        <f t="shared" si="37"/>
        <v/>
      </c>
      <c r="S82" t="str">
        <f t="shared" si="37"/>
        <v/>
      </c>
      <c r="T82" t="str">
        <f t="shared" si="37"/>
        <v/>
      </c>
      <c r="U82" t="str">
        <f t="shared" si="37"/>
        <v/>
      </c>
      <c r="V82" t="str">
        <f t="shared" si="37"/>
        <v/>
      </c>
      <c r="Z82" t="str">
        <f t="shared" si="32"/>
        <v>BRYAN ARAUJO</v>
      </c>
      <c r="AA82" t="str">
        <f t="shared" ref="AA82:AF91" si="38">IFERROR(" ,"&amp;INDEX($B$2:$B$501,MATCH($I82&amp;AA$1,$F$2:$F$501,0)),"")</f>
        <v xml:space="preserve"> ,BRYAN ARAUJO</v>
      </c>
      <c r="AB82" t="str">
        <f t="shared" si="38"/>
        <v/>
      </c>
      <c r="AC82" t="str">
        <f t="shared" si="38"/>
        <v/>
      </c>
      <c r="AD82" t="str">
        <f t="shared" si="38"/>
        <v/>
      </c>
      <c r="AE82" t="str">
        <f t="shared" si="38"/>
        <v/>
      </c>
      <c r="AF82" t="str">
        <f t="shared" si="38"/>
        <v/>
      </c>
      <c r="AV82">
        <v>81</v>
      </c>
      <c r="AW82" t="s">
        <v>58</v>
      </c>
    </row>
    <row r="83" spans="1:49" ht="14.4" hidden="1">
      <c r="A83" s="9">
        <v>82</v>
      </c>
      <c r="B83" s="9" t="s">
        <v>62</v>
      </c>
      <c r="C83" s="10">
        <v>3528902004</v>
      </c>
      <c r="D83" s="9" t="s">
        <v>280</v>
      </c>
      <c r="E83" s="9">
        <f>COUNTIF($C$1:C83,C83)</f>
        <v>1</v>
      </c>
      <c r="F83" s="9" t="str">
        <f t="shared" si="25"/>
        <v>35289020041</v>
      </c>
      <c r="G83" s="9">
        <f t="shared" si="33"/>
        <v>0</v>
      </c>
      <c r="H83" s="9">
        <f t="shared" si="26"/>
        <v>0</v>
      </c>
      <c r="I83" s="4">
        <v>9146093241</v>
      </c>
      <c r="J83" s="5">
        <f t="shared" si="27"/>
        <v>1</v>
      </c>
      <c r="K83" s="5">
        <f t="shared" si="34"/>
        <v>1</v>
      </c>
      <c r="L83" s="5" t="e">
        <f t="shared" ca="1" si="28"/>
        <v>#NAME?</v>
      </c>
      <c r="M83" s="5" t="e">
        <f t="shared" ca="1" si="29"/>
        <v>#NAME?</v>
      </c>
      <c r="N83">
        <f t="shared" si="30"/>
        <v>0</v>
      </c>
      <c r="P83">
        <f t="shared" si="31"/>
        <v>133</v>
      </c>
      <c r="Q83" t="str">
        <f t="shared" si="37"/>
        <v/>
      </c>
      <c r="R83" t="str">
        <f t="shared" si="37"/>
        <v/>
      </c>
      <c r="S83" t="str">
        <f t="shared" si="37"/>
        <v/>
      </c>
      <c r="T83" t="str">
        <f t="shared" si="37"/>
        <v/>
      </c>
      <c r="U83" t="str">
        <f t="shared" si="37"/>
        <v/>
      </c>
      <c r="V83" t="str">
        <f t="shared" si="37"/>
        <v/>
      </c>
      <c r="Z83" t="str">
        <f t="shared" si="32"/>
        <v>RODRIGO Gonçalves pg</v>
      </c>
      <c r="AA83" t="str">
        <f t="shared" si="38"/>
        <v/>
      </c>
      <c r="AB83" t="str">
        <f t="shared" si="38"/>
        <v/>
      </c>
      <c r="AC83" t="str">
        <f t="shared" si="38"/>
        <v/>
      </c>
      <c r="AD83" t="str">
        <f t="shared" si="38"/>
        <v/>
      </c>
      <c r="AE83" t="str">
        <f t="shared" si="38"/>
        <v/>
      </c>
      <c r="AF83" t="str">
        <f t="shared" si="38"/>
        <v/>
      </c>
      <c r="AV83">
        <v>82</v>
      </c>
      <c r="AW83" t="s">
        <v>62</v>
      </c>
    </row>
    <row r="84" spans="1:49">
      <c r="A84" s="9">
        <v>83</v>
      </c>
      <c r="B84" s="9" t="s">
        <v>63</v>
      </c>
      <c r="C84" s="10">
        <v>9732826254</v>
      </c>
      <c r="D84" s="9" t="s">
        <v>280</v>
      </c>
      <c r="E84" s="9">
        <f>COUNTIF($C$1:C84,C84)</f>
        <v>1</v>
      </c>
      <c r="F84" s="9" t="str">
        <f t="shared" si="25"/>
        <v>97328262541</v>
      </c>
      <c r="G84" s="9">
        <f t="shared" si="33"/>
        <v>0</v>
      </c>
      <c r="H84" s="9">
        <f t="shared" si="26"/>
        <v>0</v>
      </c>
      <c r="I84" s="2">
        <v>2038647378</v>
      </c>
      <c r="J84" s="3">
        <f t="shared" si="27"/>
        <v>1</v>
      </c>
      <c r="K84" s="3">
        <f t="shared" si="34"/>
        <v>0</v>
      </c>
      <c r="L84" s="3" t="e">
        <f t="shared" ca="1" si="28"/>
        <v>#NAME?</v>
      </c>
      <c r="M84" s="3" t="e">
        <f t="shared" ca="1" si="29"/>
        <v>#NAME?</v>
      </c>
      <c r="N84">
        <f t="shared" si="30"/>
        <v>1</v>
      </c>
      <c r="P84">
        <f t="shared" si="31"/>
        <v>135</v>
      </c>
      <c r="Q84" t="str">
        <f t="shared" si="37"/>
        <v/>
      </c>
      <c r="R84" t="str">
        <f t="shared" si="37"/>
        <v/>
      </c>
      <c r="S84" t="str">
        <f t="shared" si="37"/>
        <v/>
      </c>
      <c r="T84" t="str">
        <f t="shared" si="37"/>
        <v/>
      </c>
      <c r="U84" t="str">
        <f t="shared" si="37"/>
        <v/>
      </c>
      <c r="V84" t="str">
        <f t="shared" si="37"/>
        <v/>
      </c>
      <c r="Z84" t="str">
        <f t="shared" si="32"/>
        <v>MARCOS SILVA</v>
      </c>
      <c r="AA84" t="str">
        <f t="shared" si="38"/>
        <v/>
      </c>
      <c r="AB84" t="str">
        <f t="shared" si="38"/>
        <v/>
      </c>
      <c r="AC84" t="str">
        <f t="shared" si="38"/>
        <v/>
      </c>
      <c r="AD84" t="str">
        <f t="shared" si="38"/>
        <v/>
      </c>
      <c r="AE84" t="str">
        <f t="shared" si="38"/>
        <v/>
      </c>
      <c r="AF84" t="str">
        <f t="shared" si="38"/>
        <v/>
      </c>
      <c r="AV84">
        <v>83</v>
      </c>
      <c r="AW84" t="s">
        <v>63</v>
      </c>
    </row>
    <row r="85" spans="1:49">
      <c r="A85" s="9">
        <v>84</v>
      </c>
      <c r="B85" s="9" t="s">
        <v>64</v>
      </c>
      <c r="C85" s="10">
        <v>5162442819</v>
      </c>
      <c r="D85" s="9" t="s">
        <v>280</v>
      </c>
      <c r="E85" s="9">
        <f>COUNTIF($C$1:C85,C85)</f>
        <v>1</v>
      </c>
      <c r="F85" s="9" t="str">
        <f t="shared" si="25"/>
        <v>51624428191</v>
      </c>
      <c r="G85" s="9">
        <f t="shared" si="33"/>
        <v>0</v>
      </c>
      <c r="H85" s="9">
        <f t="shared" si="26"/>
        <v>0</v>
      </c>
      <c r="I85" s="4">
        <v>9145654952</v>
      </c>
      <c r="J85" s="5">
        <f t="shared" si="27"/>
        <v>1</v>
      </c>
      <c r="K85" s="5">
        <f t="shared" si="34"/>
        <v>0</v>
      </c>
      <c r="L85" s="5" t="e">
        <f t="shared" ca="1" si="28"/>
        <v>#NAME?</v>
      </c>
      <c r="M85" s="5" t="e">
        <f t="shared" ca="1" si="29"/>
        <v>#NAME?</v>
      </c>
      <c r="N85">
        <f t="shared" si="30"/>
        <v>1</v>
      </c>
      <c r="P85">
        <f t="shared" si="31"/>
        <v>136</v>
      </c>
      <c r="Q85" t="str">
        <f t="shared" si="37"/>
        <v/>
      </c>
      <c r="R85" t="str">
        <f t="shared" si="37"/>
        <v/>
      </c>
      <c r="S85" t="str">
        <f t="shared" si="37"/>
        <v/>
      </c>
      <c r="T85" t="str">
        <f t="shared" si="37"/>
        <v/>
      </c>
      <c r="U85" t="str">
        <f t="shared" si="37"/>
        <v/>
      </c>
      <c r="V85" t="str">
        <f t="shared" si="37"/>
        <v/>
      </c>
      <c r="Z85" t="str">
        <f t="shared" si="32"/>
        <v>MARCELO MORENO</v>
      </c>
      <c r="AA85" t="str">
        <f t="shared" si="38"/>
        <v/>
      </c>
      <c r="AB85" t="str">
        <f t="shared" si="38"/>
        <v/>
      </c>
      <c r="AC85" t="str">
        <f t="shared" si="38"/>
        <v/>
      </c>
      <c r="AD85" t="str">
        <f t="shared" si="38"/>
        <v/>
      </c>
      <c r="AE85" t="str">
        <f t="shared" si="38"/>
        <v/>
      </c>
      <c r="AF85" t="str">
        <f t="shared" si="38"/>
        <v/>
      </c>
      <c r="AV85">
        <v>84</v>
      </c>
      <c r="AW85" t="s">
        <v>64</v>
      </c>
    </row>
    <row r="86" spans="1:49">
      <c r="A86" s="9">
        <v>85</v>
      </c>
      <c r="B86" s="9" t="s">
        <v>65</v>
      </c>
      <c r="C86" s="10"/>
      <c r="D86" s="9"/>
      <c r="E86" s="9">
        <f>COUNTIF($C$1:C86,C86)</f>
        <v>0</v>
      </c>
      <c r="F86" s="9" t="str">
        <f t="shared" si="25"/>
        <v>0</v>
      </c>
      <c r="G86" s="9">
        <f t="shared" si="33"/>
        <v>0</v>
      </c>
      <c r="H86" s="9">
        <f t="shared" si="26"/>
        <v>0</v>
      </c>
      <c r="I86" s="2">
        <v>2038985149</v>
      </c>
      <c r="J86" s="3">
        <f t="shared" si="27"/>
        <v>3</v>
      </c>
      <c r="K86" s="3">
        <f t="shared" si="34"/>
        <v>1</v>
      </c>
      <c r="L86" s="3" t="e">
        <f t="shared" ca="1" si="28"/>
        <v>#NAME?</v>
      </c>
      <c r="M86" s="3" t="e">
        <f t="shared" ca="1" si="29"/>
        <v>#NAME?</v>
      </c>
      <c r="N86">
        <f t="shared" si="30"/>
        <v>2</v>
      </c>
      <c r="P86">
        <f t="shared" si="31"/>
        <v>138</v>
      </c>
      <c r="Q86" t="str">
        <f t="shared" si="37"/>
        <v xml:space="preserve"> ,139</v>
      </c>
      <c r="R86" t="str">
        <f t="shared" si="37"/>
        <v xml:space="preserve"> ,234</v>
      </c>
      <c r="S86" t="str">
        <f t="shared" si="37"/>
        <v/>
      </c>
      <c r="T86" t="str">
        <f t="shared" si="37"/>
        <v/>
      </c>
      <c r="U86" t="str">
        <f t="shared" si="37"/>
        <v/>
      </c>
      <c r="V86" t="str">
        <f t="shared" si="37"/>
        <v/>
      </c>
      <c r="Z86" t="str">
        <f t="shared" si="32"/>
        <v>Fábio Albino</v>
      </c>
      <c r="AA86" t="str">
        <f t="shared" si="38"/>
        <v xml:space="preserve"> ,Fábio Albino</v>
      </c>
      <c r="AB86" t="str">
        <f t="shared" si="38"/>
        <v xml:space="preserve"> ,Fábio Albino freee</v>
      </c>
      <c r="AC86" t="str">
        <f t="shared" si="38"/>
        <v/>
      </c>
      <c r="AD86" t="str">
        <f t="shared" si="38"/>
        <v/>
      </c>
      <c r="AE86" t="str">
        <f t="shared" si="38"/>
        <v/>
      </c>
      <c r="AF86" t="str">
        <f t="shared" si="38"/>
        <v/>
      </c>
      <c r="AV86">
        <v>85</v>
      </c>
      <c r="AW86" t="s">
        <v>65</v>
      </c>
    </row>
    <row r="87" spans="1:49" ht="14.4" hidden="1">
      <c r="A87" s="9">
        <v>86</v>
      </c>
      <c r="B87" s="9" t="s">
        <v>66</v>
      </c>
      <c r="C87" s="10">
        <v>2036925867</v>
      </c>
      <c r="D87" s="9" t="s">
        <v>280</v>
      </c>
      <c r="E87" s="9">
        <f>COUNTIF($C$1:C87,C87)</f>
        <v>1</v>
      </c>
      <c r="F87" s="9" t="str">
        <f t="shared" si="25"/>
        <v>20369258671</v>
      </c>
      <c r="G87" s="9">
        <f t="shared" si="33"/>
        <v>0</v>
      </c>
      <c r="H87" s="9">
        <f t="shared" si="26"/>
        <v>0</v>
      </c>
      <c r="I87" s="4">
        <v>9147740936</v>
      </c>
      <c r="J87" s="5">
        <f t="shared" si="27"/>
        <v>3</v>
      </c>
      <c r="K87" s="5">
        <f t="shared" si="34"/>
        <v>3</v>
      </c>
      <c r="L87" s="5" t="e">
        <f t="shared" ca="1" si="28"/>
        <v>#NAME?</v>
      </c>
      <c r="M87" s="5" t="e">
        <f t="shared" ca="1" si="29"/>
        <v>#NAME?</v>
      </c>
      <c r="N87">
        <f t="shared" si="30"/>
        <v>0</v>
      </c>
      <c r="P87">
        <f t="shared" si="31"/>
        <v>142</v>
      </c>
      <c r="Q87" t="str">
        <f t="shared" si="37"/>
        <v xml:space="preserve"> ,367</v>
      </c>
      <c r="R87" t="str">
        <f t="shared" si="37"/>
        <v xml:space="preserve"> ,467</v>
      </c>
      <c r="S87" t="str">
        <f t="shared" si="37"/>
        <v/>
      </c>
      <c r="T87" t="str">
        <f t="shared" si="37"/>
        <v/>
      </c>
      <c r="U87" t="str">
        <f t="shared" si="37"/>
        <v/>
      </c>
      <c r="V87" t="str">
        <f t="shared" si="37"/>
        <v/>
      </c>
      <c r="Z87" t="str">
        <f t="shared" si="32"/>
        <v>Gustavo Freitas pg</v>
      </c>
      <c r="AA87" t="str">
        <f t="shared" si="38"/>
        <v xml:space="preserve"> ,Gustavo Freitas pg</v>
      </c>
      <c r="AB87" t="str">
        <f t="shared" si="38"/>
        <v xml:space="preserve"> ,Gustavo freitas (free)</v>
      </c>
      <c r="AC87" t="str">
        <f t="shared" si="38"/>
        <v/>
      </c>
      <c r="AD87" t="str">
        <f t="shared" si="38"/>
        <v/>
      </c>
      <c r="AE87" t="str">
        <f t="shared" si="38"/>
        <v/>
      </c>
      <c r="AF87" t="str">
        <f t="shared" si="38"/>
        <v/>
      </c>
      <c r="AV87">
        <v>86</v>
      </c>
      <c r="AW87" t="s">
        <v>66</v>
      </c>
    </row>
    <row r="88" spans="1:49">
      <c r="A88" s="9">
        <v>87</v>
      </c>
      <c r="B88" s="9" t="s">
        <v>299</v>
      </c>
      <c r="C88" s="10">
        <v>2035401836</v>
      </c>
      <c r="D88" s="9" t="s">
        <v>280</v>
      </c>
      <c r="E88" s="9">
        <f>COUNTIF($C$1:C88,C88)</f>
        <v>1</v>
      </c>
      <c r="F88" s="9" t="str">
        <f t="shared" si="25"/>
        <v>20354018361</v>
      </c>
      <c r="G88" s="9">
        <f t="shared" si="33"/>
        <v>1</v>
      </c>
      <c r="H88" s="9">
        <f t="shared" si="26"/>
        <v>0</v>
      </c>
      <c r="I88" s="2">
        <v>9144862420</v>
      </c>
      <c r="J88" s="3">
        <f t="shared" si="27"/>
        <v>1</v>
      </c>
      <c r="K88" s="3">
        <f t="shared" si="34"/>
        <v>0</v>
      </c>
      <c r="L88" s="3" t="e">
        <f t="shared" ca="1" si="28"/>
        <v>#NAME?</v>
      </c>
      <c r="M88" s="3" t="e">
        <f t="shared" ca="1" si="29"/>
        <v>#NAME?</v>
      </c>
      <c r="N88">
        <f t="shared" si="30"/>
        <v>1</v>
      </c>
      <c r="P88">
        <f t="shared" si="31"/>
        <v>143</v>
      </c>
      <c r="Q88" t="str">
        <f t="shared" si="37"/>
        <v/>
      </c>
      <c r="R88" t="str">
        <f t="shared" si="37"/>
        <v/>
      </c>
      <c r="S88" t="str">
        <f t="shared" si="37"/>
        <v/>
      </c>
      <c r="T88" t="str">
        <f t="shared" si="37"/>
        <v/>
      </c>
      <c r="U88" t="str">
        <f t="shared" si="37"/>
        <v/>
      </c>
      <c r="V88" t="str">
        <f t="shared" si="37"/>
        <v/>
      </c>
      <c r="Z88" t="str">
        <f t="shared" si="32"/>
        <v>GUILHER BORGES</v>
      </c>
      <c r="AA88" t="str">
        <f t="shared" si="38"/>
        <v/>
      </c>
      <c r="AB88" t="str">
        <f t="shared" si="38"/>
        <v/>
      </c>
      <c r="AC88" t="str">
        <f t="shared" si="38"/>
        <v/>
      </c>
      <c r="AD88" t="str">
        <f t="shared" si="38"/>
        <v/>
      </c>
      <c r="AE88" t="str">
        <f t="shared" si="38"/>
        <v/>
      </c>
      <c r="AF88" t="str">
        <f t="shared" si="38"/>
        <v/>
      </c>
      <c r="AV88">
        <v>87</v>
      </c>
      <c r="AW88" t="s">
        <v>67</v>
      </c>
    </row>
    <row r="89" spans="1:49" ht="14.4" hidden="1">
      <c r="A89" s="9">
        <v>88</v>
      </c>
      <c r="B89" s="9" t="s">
        <v>68</v>
      </c>
      <c r="C89" s="10">
        <v>2035158719</v>
      </c>
      <c r="D89" s="9" t="s">
        <v>283</v>
      </c>
      <c r="E89" s="9">
        <f>COUNTIF($C$1:C89,C89)</f>
        <v>4</v>
      </c>
      <c r="F89" s="9" t="str">
        <f t="shared" si="25"/>
        <v>20351587194</v>
      </c>
      <c r="G89" s="9">
        <f t="shared" si="33"/>
        <v>0</v>
      </c>
      <c r="H89" s="9">
        <f t="shared" si="26"/>
        <v>0</v>
      </c>
      <c r="I89" s="4">
        <v>9144901203</v>
      </c>
      <c r="J89" s="5">
        <f t="shared" si="27"/>
        <v>2</v>
      </c>
      <c r="K89" s="5">
        <f t="shared" si="34"/>
        <v>2</v>
      </c>
      <c r="L89" s="5" t="e">
        <f t="shared" ca="1" si="28"/>
        <v>#NAME?</v>
      </c>
      <c r="M89" s="5" t="e">
        <f t="shared" ca="1" si="29"/>
        <v>#NAME?</v>
      </c>
      <c r="N89">
        <f t="shared" si="30"/>
        <v>0</v>
      </c>
      <c r="P89">
        <f t="shared" si="31"/>
        <v>146</v>
      </c>
      <c r="Q89" t="str">
        <f t="shared" si="37"/>
        <v xml:space="preserve"> ,377</v>
      </c>
      <c r="R89" t="str">
        <f t="shared" si="37"/>
        <v/>
      </c>
      <c r="S89" t="str">
        <f t="shared" si="37"/>
        <v/>
      </c>
      <c r="T89" t="str">
        <f t="shared" si="37"/>
        <v/>
      </c>
      <c r="U89" t="str">
        <f t="shared" si="37"/>
        <v/>
      </c>
      <c r="V89" t="str">
        <f t="shared" si="37"/>
        <v/>
      </c>
      <c r="Z89" t="str">
        <f t="shared" si="32"/>
        <v>WENDER pg</v>
      </c>
      <c r="AA89" t="str">
        <f t="shared" si="38"/>
        <v xml:space="preserve"> ,WENDER pg</v>
      </c>
      <c r="AB89" t="str">
        <f t="shared" si="38"/>
        <v/>
      </c>
      <c r="AC89" t="str">
        <f t="shared" si="38"/>
        <v/>
      </c>
      <c r="AD89" t="str">
        <f t="shared" si="38"/>
        <v/>
      </c>
      <c r="AE89" t="str">
        <f t="shared" si="38"/>
        <v/>
      </c>
      <c r="AF89" t="str">
        <f t="shared" si="38"/>
        <v/>
      </c>
      <c r="AV89">
        <v>88</v>
      </c>
      <c r="AW89" t="s">
        <v>68</v>
      </c>
    </row>
    <row r="90" spans="1:49">
      <c r="A90" s="9">
        <v>89</v>
      </c>
      <c r="B90" s="9" t="s">
        <v>69</v>
      </c>
      <c r="C90" s="10">
        <v>9145656120</v>
      </c>
      <c r="D90" s="9" t="s">
        <v>280</v>
      </c>
      <c r="E90" s="9">
        <f>COUNTIF($C$1:C90,C90)</f>
        <v>1</v>
      </c>
      <c r="F90" s="9" t="str">
        <f t="shared" si="25"/>
        <v>91456561201</v>
      </c>
      <c r="G90" s="9">
        <f t="shared" si="33"/>
        <v>0</v>
      </c>
      <c r="H90" s="9">
        <f t="shared" si="26"/>
        <v>0</v>
      </c>
      <c r="I90" s="2">
        <v>9144381725</v>
      </c>
      <c r="J90" s="3">
        <f t="shared" si="27"/>
        <v>3</v>
      </c>
      <c r="K90" s="3">
        <f t="shared" si="34"/>
        <v>0</v>
      </c>
      <c r="L90" s="3" t="e">
        <f t="shared" ca="1" si="28"/>
        <v>#NAME?</v>
      </c>
      <c r="M90" s="3" t="e">
        <f t="shared" ca="1" si="29"/>
        <v>#NAME?</v>
      </c>
      <c r="N90">
        <f t="shared" si="30"/>
        <v>3</v>
      </c>
      <c r="P90">
        <f t="shared" si="31"/>
        <v>148</v>
      </c>
      <c r="Q90" t="str">
        <f t="shared" si="37"/>
        <v xml:space="preserve"> ,215</v>
      </c>
      <c r="R90" t="str">
        <f t="shared" si="37"/>
        <v xml:space="preserve"> ,428</v>
      </c>
      <c r="S90" t="str">
        <f t="shared" si="37"/>
        <v/>
      </c>
      <c r="T90" t="str">
        <f t="shared" si="37"/>
        <v/>
      </c>
      <c r="U90" t="str">
        <f t="shared" si="37"/>
        <v/>
      </c>
      <c r="V90" t="str">
        <f t="shared" si="37"/>
        <v/>
      </c>
      <c r="Z90" t="str">
        <f t="shared" si="32"/>
        <v>Juliano Farias /gustavo</v>
      </c>
      <c r="AA90" t="str">
        <f t="shared" si="38"/>
        <v xml:space="preserve"> ,Juliano Farias /gustavo</v>
      </c>
      <c r="AB90" t="str">
        <f t="shared" si="38"/>
        <v xml:space="preserve"> ,Juliano fritas / Gustavo</v>
      </c>
      <c r="AC90" t="str">
        <f t="shared" si="38"/>
        <v/>
      </c>
      <c r="AD90" t="str">
        <f t="shared" si="38"/>
        <v/>
      </c>
      <c r="AE90" t="str">
        <f t="shared" si="38"/>
        <v/>
      </c>
      <c r="AF90" t="str">
        <f t="shared" si="38"/>
        <v/>
      </c>
      <c r="AV90">
        <v>89</v>
      </c>
      <c r="AW90" t="s">
        <v>69</v>
      </c>
    </row>
    <row r="91" spans="1:49">
      <c r="A91" s="9">
        <v>90</v>
      </c>
      <c r="B91" s="9" t="s">
        <v>70</v>
      </c>
      <c r="C91" s="10">
        <v>2035439473</v>
      </c>
      <c r="D91" s="9" t="s">
        <v>284</v>
      </c>
      <c r="E91" s="9">
        <f>COUNTIF($C$1:C91,C91)</f>
        <v>1</v>
      </c>
      <c r="F91" s="9" t="str">
        <f t="shared" si="25"/>
        <v>20354394731</v>
      </c>
      <c r="G91" s="9">
        <f t="shared" si="33"/>
        <v>0</v>
      </c>
      <c r="H91" s="9">
        <f t="shared" si="26"/>
        <v>0</v>
      </c>
      <c r="I91" s="4">
        <v>9148069703</v>
      </c>
      <c r="J91" s="5">
        <f t="shared" si="27"/>
        <v>2</v>
      </c>
      <c r="K91" s="5">
        <f t="shared" si="34"/>
        <v>0</v>
      </c>
      <c r="L91" s="5" t="e">
        <f t="shared" ca="1" si="28"/>
        <v>#NAME?</v>
      </c>
      <c r="M91" s="5" t="e">
        <f t="shared" ca="1" si="29"/>
        <v>#NAME?</v>
      </c>
      <c r="N91">
        <f t="shared" si="30"/>
        <v>2</v>
      </c>
      <c r="P91">
        <f t="shared" si="31"/>
        <v>149</v>
      </c>
      <c r="Q91" t="str">
        <f t="shared" si="37"/>
        <v xml:space="preserve"> ,155</v>
      </c>
      <c r="R91" t="str">
        <f t="shared" si="37"/>
        <v/>
      </c>
      <c r="S91" t="str">
        <f t="shared" si="37"/>
        <v/>
      </c>
      <c r="T91" t="str">
        <f t="shared" si="37"/>
        <v/>
      </c>
      <c r="U91" t="str">
        <f t="shared" si="37"/>
        <v/>
      </c>
      <c r="V91" t="str">
        <f t="shared" si="37"/>
        <v/>
      </c>
      <c r="Z91" t="str">
        <f t="shared" si="32"/>
        <v>CLAUDIO (DINHO )</v>
      </c>
      <c r="AA91" t="str">
        <f t="shared" si="38"/>
        <v xml:space="preserve"> ,CLAUDIO (DINHO0</v>
      </c>
      <c r="AB91" t="str">
        <f t="shared" si="38"/>
        <v/>
      </c>
      <c r="AC91" t="str">
        <f t="shared" si="38"/>
        <v/>
      </c>
      <c r="AD91" t="str">
        <f t="shared" si="38"/>
        <v/>
      </c>
      <c r="AE91" t="str">
        <f t="shared" si="38"/>
        <v/>
      </c>
      <c r="AF91" t="str">
        <f t="shared" si="38"/>
        <v/>
      </c>
      <c r="AV91">
        <v>90</v>
      </c>
      <c r="AW91" t="s">
        <v>70</v>
      </c>
    </row>
    <row r="92" spans="1:49">
      <c r="A92" s="9">
        <v>91</v>
      </c>
      <c r="B92" s="9" t="s">
        <v>71</v>
      </c>
      <c r="C92" s="10">
        <v>2034285344</v>
      </c>
      <c r="D92" s="9" t="s">
        <v>280</v>
      </c>
      <c r="E92" s="9">
        <f>COUNTIF($C$1:C92,C92)</f>
        <v>1</v>
      </c>
      <c r="F92" s="9" t="str">
        <f t="shared" si="25"/>
        <v>20342853441</v>
      </c>
      <c r="G92" s="9">
        <f t="shared" si="33"/>
        <v>0</v>
      </c>
      <c r="H92" s="9">
        <f t="shared" si="26"/>
        <v>0</v>
      </c>
      <c r="I92" s="2">
        <v>2039524111</v>
      </c>
      <c r="J92" s="3">
        <f t="shared" si="27"/>
        <v>1</v>
      </c>
      <c r="K92" s="3">
        <f t="shared" si="34"/>
        <v>0</v>
      </c>
      <c r="L92" s="3" t="e">
        <f t="shared" ca="1" si="28"/>
        <v>#NAME?</v>
      </c>
      <c r="M92" s="3" t="e">
        <f t="shared" ca="1" si="29"/>
        <v>#NAME?</v>
      </c>
      <c r="N92">
        <f t="shared" si="30"/>
        <v>1</v>
      </c>
      <c r="P92">
        <f t="shared" si="31"/>
        <v>151</v>
      </c>
      <c r="Q92" t="str">
        <f t="shared" ref="Q92:V101" si="39">IFERROR(" ,"&amp;INDEX($A$2:$A$501,MATCH($I92&amp;Q$1,$F$2:$F$501,0)),"")</f>
        <v/>
      </c>
      <c r="R92" t="str">
        <f t="shared" si="39"/>
        <v/>
      </c>
      <c r="S92" t="str">
        <f t="shared" si="39"/>
        <v/>
      </c>
      <c r="T92" t="str">
        <f t="shared" si="39"/>
        <v/>
      </c>
      <c r="U92" t="str">
        <f t="shared" si="39"/>
        <v/>
      </c>
      <c r="V92" t="str">
        <f t="shared" si="39"/>
        <v/>
      </c>
      <c r="Z92" t="str">
        <f t="shared" si="32"/>
        <v>Leandro at lpslimo</v>
      </c>
      <c r="AA92" t="str">
        <f t="shared" ref="AA92:AF101" si="40">IFERROR(" ,"&amp;INDEX($B$2:$B$501,MATCH($I92&amp;AA$1,$F$2:$F$501,0)),"")</f>
        <v/>
      </c>
      <c r="AB92" t="str">
        <f t="shared" si="40"/>
        <v/>
      </c>
      <c r="AC92" t="str">
        <f t="shared" si="40"/>
        <v/>
      </c>
      <c r="AD92" t="str">
        <f t="shared" si="40"/>
        <v/>
      </c>
      <c r="AE92" t="str">
        <f t="shared" si="40"/>
        <v/>
      </c>
      <c r="AF92" t="str">
        <f t="shared" si="40"/>
        <v/>
      </c>
      <c r="AV92">
        <v>91</v>
      </c>
      <c r="AW92" t="s">
        <v>71</v>
      </c>
    </row>
    <row r="93" spans="1:49" ht="14.4" hidden="1">
      <c r="A93" s="9">
        <v>92</v>
      </c>
      <c r="B93" s="9" t="s">
        <v>72</v>
      </c>
      <c r="C93" s="10">
        <v>2035239177</v>
      </c>
      <c r="D93" s="9" t="s">
        <v>280</v>
      </c>
      <c r="E93" s="9">
        <f>COUNTIF($C$1:C93,C93)</f>
        <v>1</v>
      </c>
      <c r="F93" s="9" t="str">
        <f t="shared" si="25"/>
        <v>20352391771</v>
      </c>
      <c r="G93" s="9">
        <f t="shared" si="33"/>
        <v>0</v>
      </c>
      <c r="H93" s="9">
        <f t="shared" si="26"/>
        <v>0</v>
      </c>
      <c r="I93" s="4">
        <v>2039804388</v>
      </c>
      <c r="J93" s="5">
        <f t="shared" si="27"/>
        <v>1</v>
      </c>
      <c r="K93" s="5">
        <f t="shared" si="34"/>
        <v>1</v>
      </c>
      <c r="L93" s="5" t="e">
        <f t="shared" ca="1" si="28"/>
        <v>#NAME?</v>
      </c>
      <c r="M93" s="5" t="e">
        <f t="shared" ca="1" si="29"/>
        <v>#NAME?</v>
      </c>
      <c r="N93">
        <f t="shared" si="30"/>
        <v>0</v>
      </c>
      <c r="P93">
        <f t="shared" si="31"/>
        <v>152</v>
      </c>
      <c r="Q93" t="str">
        <f t="shared" si="39"/>
        <v/>
      </c>
      <c r="R93" t="str">
        <f t="shared" si="39"/>
        <v/>
      </c>
      <c r="S93" t="str">
        <f t="shared" si="39"/>
        <v/>
      </c>
      <c r="T93" t="str">
        <f t="shared" si="39"/>
        <v/>
      </c>
      <c r="U93" t="str">
        <f t="shared" si="39"/>
        <v/>
      </c>
      <c r="V93" t="str">
        <f t="shared" si="39"/>
        <v/>
      </c>
      <c r="Z93" t="str">
        <f t="shared" si="32"/>
        <v>Afonso Eletrrcista pg</v>
      </c>
      <c r="AA93" t="str">
        <f t="shared" si="40"/>
        <v/>
      </c>
      <c r="AB93" t="str">
        <f t="shared" si="40"/>
        <v/>
      </c>
      <c r="AC93" t="str">
        <f t="shared" si="40"/>
        <v/>
      </c>
      <c r="AD93" t="str">
        <f t="shared" si="40"/>
        <v/>
      </c>
      <c r="AE93" t="str">
        <f t="shared" si="40"/>
        <v/>
      </c>
      <c r="AF93" t="str">
        <f t="shared" si="40"/>
        <v/>
      </c>
      <c r="AV93">
        <v>92</v>
      </c>
      <c r="AW93" t="s">
        <v>72</v>
      </c>
    </row>
    <row r="94" spans="1:49" ht="14.4" hidden="1">
      <c r="A94" s="9">
        <v>93</v>
      </c>
      <c r="B94" s="9" t="s">
        <v>73</v>
      </c>
      <c r="C94" s="10">
        <v>6178402356</v>
      </c>
      <c r="D94" s="9" t="s">
        <v>280</v>
      </c>
      <c r="E94" s="9">
        <f>COUNTIF($C$1:C94,C94)</f>
        <v>2</v>
      </c>
      <c r="F94" s="9" t="str">
        <f t="shared" si="25"/>
        <v>61784023562</v>
      </c>
      <c r="G94" s="9">
        <f t="shared" si="33"/>
        <v>0</v>
      </c>
      <c r="H94" s="9">
        <f t="shared" si="26"/>
        <v>0</v>
      </c>
      <c r="I94" s="2">
        <v>2035591129</v>
      </c>
      <c r="J94" s="3">
        <f t="shared" si="27"/>
        <v>3</v>
      </c>
      <c r="K94" s="3">
        <f t="shared" si="34"/>
        <v>3</v>
      </c>
      <c r="L94" s="3" t="e">
        <f t="shared" ca="1" si="28"/>
        <v>#NAME?</v>
      </c>
      <c r="M94" s="3" t="e">
        <f t="shared" ca="1" si="29"/>
        <v>#NAME?</v>
      </c>
      <c r="N94">
        <f t="shared" si="30"/>
        <v>0</v>
      </c>
      <c r="P94">
        <f t="shared" si="31"/>
        <v>153</v>
      </c>
      <c r="Q94" t="str">
        <f t="shared" si="39"/>
        <v xml:space="preserve"> ,158</v>
      </c>
      <c r="R94" t="str">
        <f t="shared" si="39"/>
        <v xml:space="preserve"> ,160</v>
      </c>
      <c r="S94" t="str">
        <f t="shared" si="39"/>
        <v/>
      </c>
      <c r="T94" t="str">
        <f t="shared" si="39"/>
        <v/>
      </c>
      <c r="U94" t="str">
        <f t="shared" si="39"/>
        <v/>
      </c>
      <c r="V94" t="str">
        <f t="shared" si="39"/>
        <v/>
      </c>
      <c r="Z94" t="str">
        <f t="shared" si="32"/>
        <v>Fernando Carvalho pg</v>
      </c>
      <c r="AA94" t="str">
        <f t="shared" si="40"/>
        <v xml:space="preserve"> ,Fernando Carvalho pg</v>
      </c>
      <c r="AB94" t="str">
        <f t="shared" si="40"/>
        <v xml:space="preserve"> ,Fernando Carvalho freee</v>
      </c>
      <c r="AC94" t="str">
        <f t="shared" si="40"/>
        <v/>
      </c>
      <c r="AD94" t="str">
        <f t="shared" si="40"/>
        <v/>
      </c>
      <c r="AE94" t="str">
        <f t="shared" si="40"/>
        <v/>
      </c>
      <c r="AF94" t="str">
        <f t="shared" si="40"/>
        <v/>
      </c>
      <c r="AV94">
        <v>93</v>
      </c>
      <c r="AW94" t="s">
        <v>73</v>
      </c>
    </row>
    <row r="95" spans="1:49">
      <c r="A95" s="9">
        <v>94</v>
      </c>
      <c r="B95" s="9" t="s">
        <v>74</v>
      </c>
      <c r="C95" s="10">
        <v>9144690686</v>
      </c>
      <c r="D95" s="9" t="s">
        <v>293</v>
      </c>
      <c r="E95" s="9">
        <f>COUNTIF($C$1:C95,C95)</f>
        <v>1</v>
      </c>
      <c r="F95" s="9" t="str">
        <f t="shared" si="25"/>
        <v>91446906861</v>
      </c>
      <c r="G95" s="9">
        <f t="shared" si="33"/>
        <v>0</v>
      </c>
      <c r="H95" s="9">
        <f t="shared" si="26"/>
        <v>0</v>
      </c>
      <c r="I95" s="4">
        <v>9144904255</v>
      </c>
      <c r="J95" s="5">
        <f t="shared" si="27"/>
        <v>6</v>
      </c>
      <c r="K95" s="5">
        <f t="shared" si="34"/>
        <v>4</v>
      </c>
      <c r="L95" s="5" t="e">
        <f t="shared" ca="1" si="28"/>
        <v>#NAME?</v>
      </c>
      <c r="M95" s="5" t="e">
        <f t="shared" ca="1" si="29"/>
        <v>#NAME?</v>
      </c>
      <c r="N95">
        <f t="shared" si="30"/>
        <v>2</v>
      </c>
      <c r="P95">
        <f t="shared" si="31"/>
        <v>156</v>
      </c>
      <c r="Q95" t="str">
        <f t="shared" si="39"/>
        <v xml:space="preserve"> ,241</v>
      </c>
      <c r="R95" t="str">
        <f t="shared" si="39"/>
        <v xml:space="preserve"> ,342</v>
      </c>
      <c r="S95" t="str">
        <f t="shared" si="39"/>
        <v xml:space="preserve"> ,349</v>
      </c>
      <c r="T95" t="str">
        <f t="shared" si="39"/>
        <v xml:space="preserve"> ,355</v>
      </c>
      <c r="U95" t="str">
        <f t="shared" si="39"/>
        <v xml:space="preserve"> ,430</v>
      </c>
      <c r="V95" t="str">
        <f t="shared" si="39"/>
        <v/>
      </c>
      <c r="Z95" t="str">
        <f t="shared" si="32"/>
        <v>Carlos Serafim freeee</v>
      </c>
      <c r="AA95" t="str">
        <f t="shared" si="40"/>
        <v xml:space="preserve"> ,CARLOS SERAFIM</v>
      </c>
      <c r="AB95" t="str">
        <f t="shared" si="40"/>
        <v xml:space="preserve"> ,CARLOS SERAFIM. Pg</v>
      </c>
      <c r="AC95" t="str">
        <f t="shared" si="40"/>
        <v xml:space="preserve"> ,PEDRO CARLOS</v>
      </c>
      <c r="AD95" t="str">
        <f t="shared" si="40"/>
        <v xml:space="preserve"> ,Carlos Serafim Pg</v>
      </c>
      <c r="AE95" t="str">
        <f t="shared" si="40"/>
        <v xml:space="preserve"> ,Carlos Serafim pg</v>
      </c>
      <c r="AF95" t="str">
        <f t="shared" si="40"/>
        <v/>
      </c>
      <c r="AV95">
        <v>94</v>
      </c>
      <c r="AW95" t="s">
        <v>74</v>
      </c>
    </row>
    <row r="96" spans="1:49">
      <c r="A96" s="9">
        <v>95</v>
      </c>
      <c r="B96" s="9" t="s">
        <v>75</v>
      </c>
      <c r="C96" s="10">
        <v>2035229488</v>
      </c>
      <c r="D96" s="9" t="s">
        <v>280</v>
      </c>
      <c r="E96" s="9">
        <f>COUNTIF($C$1:C96,C96)</f>
        <v>1</v>
      </c>
      <c r="F96" s="9" t="str">
        <f t="shared" si="25"/>
        <v>20352294881</v>
      </c>
      <c r="G96" s="9">
        <f t="shared" si="33"/>
        <v>0</v>
      </c>
      <c r="H96" s="9">
        <f t="shared" si="26"/>
        <v>0</v>
      </c>
      <c r="I96" s="2">
        <v>5511961917900</v>
      </c>
      <c r="J96" s="3">
        <f t="shared" si="27"/>
        <v>6</v>
      </c>
      <c r="K96" s="3">
        <f t="shared" si="34"/>
        <v>1</v>
      </c>
      <c r="L96" s="3" t="e">
        <f t="shared" ca="1" si="28"/>
        <v>#NAME?</v>
      </c>
      <c r="M96" s="3" t="e">
        <f t="shared" ca="1" si="29"/>
        <v>#NAME?</v>
      </c>
      <c r="N96">
        <f t="shared" si="30"/>
        <v>5</v>
      </c>
      <c r="P96">
        <f t="shared" si="31"/>
        <v>157</v>
      </c>
      <c r="Q96" t="str">
        <f t="shared" si="39"/>
        <v xml:space="preserve"> ,161</v>
      </c>
      <c r="R96" t="str">
        <f t="shared" si="39"/>
        <v xml:space="preserve"> ,260</v>
      </c>
      <c r="S96" t="str">
        <f t="shared" si="39"/>
        <v xml:space="preserve"> ,417</v>
      </c>
      <c r="T96" t="str">
        <f t="shared" si="39"/>
        <v xml:space="preserve"> ,442</v>
      </c>
      <c r="U96" t="str">
        <f t="shared" si="39"/>
        <v xml:space="preserve"> ,457</v>
      </c>
      <c r="V96" t="str">
        <f t="shared" si="39"/>
        <v/>
      </c>
      <c r="Z96" t="str">
        <f t="shared" si="32"/>
        <v>KARLA</v>
      </c>
      <c r="AA96" t="str">
        <f t="shared" si="40"/>
        <v xml:space="preserve"> ,KARLA</v>
      </c>
      <c r="AB96" t="str">
        <f t="shared" si="40"/>
        <v xml:space="preserve"> ,Karla Panela freeee</v>
      </c>
      <c r="AC96" t="str">
        <f t="shared" si="40"/>
        <v xml:space="preserve"> ,Karla panela</v>
      </c>
      <c r="AD96" t="str">
        <f t="shared" si="40"/>
        <v xml:space="preserve"> ,Karla</v>
      </c>
      <c r="AE96" t="str">
        <f t="shared" si="40"/>
        <v xml:space="preserve"> ,Karla Pamela</v>
      </c>
      <c r="AF96" t="str">
        <f t="shared" si="40"/>
        <v/>
      </c>
      <c r="AV96">
        <v>95</v>
      </c>
      <c r="AW96" t="s">
        <v>75</v>
      </c>
    </row>
    <row r="97" spans="1:49">
      <c r="A97" s="9">
        <v>96</v>
      </c>
      <c r="B97" s="9" t="s">
        <v>301</v>
      </c>
      <c r="C97" s="10">
        <v>9145659101</v>
      </c>
      <c r="D97" s="9" t="s">
        <v>280</v>
      </c>
      <c r="E97" s="9">
        <f>COUNTIF($C$1:C97,C97)</f>
        <v>1</v>
      </c>
      <c r="F97" s="9" t="str">
        <f t="shared" si="25"/>
        <v>91456591011</v>
      </c>
      <c r="G97" s="9">
        <f t="shared" si="33"/>
        <v>1</v>
      </c>
      <c r="H97" s="9">
        <f t="shared" si="26"/>
        <v>0</v>
      </c>
      <c r="I97" s="4">
        <v>9144269391</v>
      </c>
      <c r="J97" s="5">
        <f t="shared" si="27"/>
        <v>4</v>
      </c>
      <c r="K97" s="5">
        <f t="shared" si="34"/>
        <v>1</v>
      </c>
      <c r="L97" s="5" t="e">
        <f t="shared" ca="1" si="28"/>
        <v>#NAME?</v>
      </c>
      <c r="M97" s="5" t="e">
        <f t="shared" ca="1" si="29"/>
        <v>#NAME?</v>
      </c>
      <c r="N97">
        <f t="shared" si="30"/>
        <v>3</v>
      </c>
      <c r="P97">
        <f t="shared" si="31"/>
        <v>162</v>
      </c>
      <c r="Q97" t="str">
        <f t="shared" si="39"/>
        <v xml:space="preserve"> ,297</v>
      </c>
      <c r="R97" t="str">
        <f t="shared" si="39"/>
        <v xml:space="preserve"> ,354</v>
      </c>
      <c r="S97" t="str">
        <f t="shared" si="39"/>
        <v xml:space="preserve"> ,491</v>
      </c>
      <c r="T97" t="str">
        <f t="shared" si="39"/>
        <v/>
      </c>
      <c r="U97" t="str">
        <f t="shared" si="39"/>
        <v/>
      </c>
      <c r="V97" t="str">
        <f t="shared" si="39"/>
        <v/>
      </c>
      <c r="Z97" t="str">
        <f t="shared" si="32"/>
        <v>Wellington Santana</v>
      </c>
      <c r="AA97" t="str">
        <f t="shared" si="40"/>
        <v xml:space="preserve"> ,Wellington Santana</v>
      </c>
      <c r="AB97" t="str">
        <f t="shared" si="40"/>
        <v xml:space="preserve"> ,Wellington Santana free</v>
      </c>
      <c r="AC97" t="str">
        <f t="shared" si="40"/>
        <v xml:space="preserve"> ,Wellington Santana</v>
      </c>
      <c r="AD97" t="str">
        <f t="shared" si="40"/>
        <v/>
      </c>
      <c r="AE97" t="str">
        <f t="shared" si="40"/>
        <v/>
      </c>
      <c r="AF97" t="str">
        <f t="shared" si="40"/>
        <v/>
      </c>
      <c r="AV97">
        <v>96</v>
      </c>
      <c r="AW97" t="s">
        <v>76</v>
      </c>
    </row>
    <row r="98" spans="1:49">
      <c r="A98" s="9">
        <v>97</v>
      </c>
      <c r="B98" s="9" t="s">
        <v>77</v>
      </c>
      <c r="C98" s="10">
        <v>2035597817</v>
      </c>
      <c r="D98" s="9" t="s">
        <v>280</v>
      </c>
      <c r="E98" s="9">
        <f>COUNTIF($C$1:C98,C98)</f>
        <v>1</v>
      </c>
      <c r="F98" s="9" t="str">
        <f t="shared" si="25"/>
        <v>20355978171</v>
      </c>
      <c r="G98" s="9">
        <f t="shared" si="33"/>
        <v>0</v>
      </c>
      <c r="H98" s="9">
        <f t="shared" si="26"/>
        <v>0</v>
      </c>
      <c r="I98" s="2">
        <v>4754194333</v>
      </c>
      <c r="J98" s="3">
        <f t="shared" si="27"/>
        <v>2</v>
      </c>
      <c r="K98" s="3">
        <f t="shared" si="34"/>
        <v>0</v>
      </c>
      <c r="L98" s="3" t="e">
        <f t="shared" ca="1" si="28"/>
        <v>#NAME?</v>
      </c>
      <c r="M98" s="3" t="e">
        <f t="shared" ca="1" si="29"/>
        <v>#NAME?</v>
      </c>
      <c r="N98">
        <f t="shared" si="30"/>
        <v>2</v>
      </c>
      <c r="P98">
        <f t="shared" si="31"/>
        <v>163</v>
      </c>
      <c r="Q98" t="str">
        <f t="shared" si="39"/>
        <v xml:space="preserve"> ,339</v>
      </c>
      <c r="R98" t="str">
        <f t="shared" si="39"/>
        <v/>
      </c>
      <c r="S98" t="str">
        <f t="shared" si="39"/>
        <v/>
      </c>
      <c r="T98" t="str">
        <f t="shared" si="39"/>
        <v/>
      </c>
      <c r="U98" t="str">
        <f t="shared" si="39"/>
        <v/>
      </c>
      <c r="V98" t="str">
        <f t="shared" si="39"/>
        <v/>
      </c>
      <c r="Z98" t="str">
        <f t="shared" si="32"/>
        <v>FABIO BORCA K</v>
      </c>
      <c r="AA98" t="str">
        <f t="shared" si="40"/>
        <v xml:space="preserve"> ,FABIO BORA k</v>
      </c>
      <c r="AB98" t="str">
        <f t="shared" si="40"/>
        <v/>
      </c>
      <c r="AC98" t="str">
        <f t="shared" si="40"/>
        <v/>
      </c>
      <c r="AD98" t="str">
        <f t="shared" si="40"/>
        <v/>
      </c>
      <c r="AE98" t="str">
        <f t="shared" si="40"/>
        <v/>
      </c>
      <c r="AF98" t="str">
        <f t="shared" si="40"/>
        <v/>
      </c>
      <c r="AV98">
        <v>97</v>
      </c>
      <c r="AW98" t="s">
        <v>77</v>
      </c>
    </row>
    <row r="99" spans="1:49">
      <c r="A99" s="9">
        <v>98</v>
      </c>
      <c r="B99" s="9" t="s">
        <v>57</v>
      </c>
      <c r="C99" s="10">
        <v>2035719888</v>
      </c>
      <c r="D99" s="9" t="s">
        <v>280</v>
      </c>
      <c r="E99" s="9">
        <f>COUNTIF($C$1:C99,C99)</f>
        <v>2</v>
      </c>
      <c r="F99" s="9" t="str">
        <f t="shared" si="25"/>
        <v>20357198882</v>
      </c>
      <c r="G99" s="9">
        <f t="shared" si="33"/>
        <v>0</v>
      </c>
      <c r="H99" s="9">
        <f t="shared" si="26"/>
        <v>0</v>
      </c>
      <c r="I99" s="4">
        <v>9145620301</v>
      </c>
      <c r="J99" s="5">
        <f t="shared" si="27"/>
        <v>5</v>
      </c>
      <c r="K99" s="5">
        <f t="shared" si="34"/>
        <v>1</v>
      </c>
      <c r="L99" s="5" t="e">
        <f t="shared" ca="1" si="28"/>
        <v>#NAME?</v>
      </c>
      <c r="M99" s="5" t="e">
        <f t="shared" ca="1" si="29"/>
        <v>#NAME?</v>
      </c>
      <c r="N99">
        <f t="shared" si="30"/>
        <v>4</v>
      </c>
      <c r="P99">
        <f t="shared" si="31"/>
        <v>164</v>
      </c>
      <c r="Q99" t="str">
        <f t="shared" si="39"/>
        <v xml:space="preserve"> ,165</v>
      </c>
      <c r="R99" t="str">
        <f t="shared" si="39"/>
        <v xml:space="preserve"> ,166</v>
      </c>
      <c r="S99" t="str">
        <f t="shared" si="39"/>
        <v xml:space="preserve"> ,296</v>
      </c>
      <c r="T99" t="str">
        <f t="shared" si="39"/>
        <v xml:space="preserve"> ,396</v>
      </c>
      <c r="U99" t="str">
        <f t="shared" si="39"/>
        <v/>
      </c>
      <c r="V99" t="str">
        <f t="shared" si="39"/>
        <v/>
      </c>
      <c r="Z99" t="str">
        <f t="shared" si="32"/>
        <v>Júnior faca</v>
      </c>
      <c r="AA99" t="str">
        <f t="shared" si="40"/>
        <v xml:space="preserve"> ,Júnior faca</v>
      </c>
      <c r="AB99" t="str">
        <f t="shared" si="40"/>
        <v xml:space="preserve"> ,Júnior faca freee</v>
      </c>
      <c r="AC99" t="str">
        <f t="shared" si="40"/>
        <v xml:space="preserve"> ,JUNIOR GORDO</v>
      </c>
      <c r="AD99" t="str">
        <f t="shared" si="40"/>
        <v xml:space="preserve"> ,JUNIOR GORDO</v>
      </c>
      <c r="AE99" t="str">
        <f t="shared" si="40"/>
        <v/>
      </c>
      <c r="AF99" t="str">
        <f t="shared" si="40"/>
        <v/>
      </c>
      <c r="AV99">
        <v>98</v>
      </c>
      <c r="AW99" t="s">
        <v>57</v>
      </c>
    </row>
    <row r="100" spans="1:49">
      <c r="A100" s="9">
        <v>99</v>
      </c>
      <c r="B100" s="9" t="s">
        <v>78</v>
      </c>
      <c r="C100" s="10">
        <v>9143918505</v>
      </c>
      <c r="D100" s="9" t="s">
        <v>280</v>
      </c>
      <c r="E100" s="9">
        <f>COUNTIF($C$1:C100,C100)</f>
        <v>1</v>
      </c>
      <c r="F100" s="9" t="str">
        <f t="shared" si="25"/>
        <v>91439185051</v>
      </c>
      <c r="G100" s="9">
        <f t="shared" si="33"/>
        <v>0</v>
      </c>
      <c r="H100" s="9">
        <f t="shared" si="26"/>
        <v>0</v>
      </c>
      <c r="I100" s="2">
        <v>2035360916</v>
      </c>
      <c r="J100" s="3">
        <f t="shared" si="27"/>
        <v>3</v>
      </c>
      <c r="K100" s="3">
        <f t="shared" si="34"/>
        <v>1</v>
      </c>
      <c r="L100" s="3" t="e">
        <f t="shared" ca="1" si="28"/>
        <v>#NAME?</v>
      </c>
      <c r="M100" s="3" t="e">
        <f t="shared" ca="1" si="29"/>
        <v>#NAME?</v>
      </c>
      <c r="N100">
        <f t="shared" si="30"/>
        <v>2</v>
      </c>
      <c r="P100">
        <f t="shared" si="31"/>
        <v>170</v>
      </c>
      <c r="Q100" t="str">
        <f t="shared" si="39"/>
        <v xml:space="preserve"> ,231</v>
      </c>
      <c r="R100" t="str">
        <f t="shared" si="39"/>
        <v xml:space="preserve"> ,461</v>
      </c>
      <c r="S100" t="str">
        <f t="shared" si="39"/>
        <v/>
      </c>
      <c r="T100" t="str">
        <f t="shared" si="39"/>
        <v/>
      </c>
      <c r="U100" t="str">
        <f t="shared" si="39"/>
        <v/>
      </c>
      <c r="V100" t="str">
        <f t="shared" si="39"/>
        <v/>
      </c>
      <c r="Z100" t="str">
        <f t="shared" si="32"/>
        <v>Adalberto Martins</v>
      </c>
      <c r="AA100" t="str">
        <f t="shared" si="40"/>
        <v xml:space="preserve"> ,Adalberto Martins</v>
      </c>
      <c r="AB100" t="str">
        <f t="shared" si="40"/>
        <v xml:space="preserve"> ,Adalberto Martins free</v>
      </c>
      <c r="AC100" t="str">
        <f t="shared" si="40"/>
        <v/>
      </c>
      <c r="AD100" t="str">
        <f t="shared" si="40"/>
        <v/>
      </c>
      <c r="AE100" t="str">
        <f t="shared" si="40"/>
        <v/>
      </c>
      <c r="AF100" t="str">
        <f t="shared" si="40"/>
        <v/>
      </c>
      <c r="AV100">
        <v>99</v>
      </c>
      <c r="AW100" t="s">
        <v>78</v>
      </c>
    </row>
    <row r="101" spans="1:49">
      <c r="A101" s="9">
        <v>100</v>
      </c>
      <c r="B101" s="9" t="s">
        <v>79</v>
      </c>
      <c r="C101" s="10">
        <v>2035439473</v>
      </c>
      <c r="D101" s="9" t="s">
        <v>280</v>
      </c>
      <c r="E101" s="9">
        <f>COUNTIF($C$1:C101,C101)</f>
        <v>2</v>
      </c>
      <c r="F101" s="9" t="str">
        <f t="shared" si="25"/>
        <v>20354394732</v>
      </c>
      <c r="G101" s="9">
        <f t="shared" si="33"/>
        <v>0</v>
      </c>
      <c r="H101" s="9">
        <f t="shared" si="26"/>
        <v>0</v>
      </c>
      <c r="I101" s="4">
        <v>4754493737</v>
      </c>
      <c r="J101" s="5">
        <f t="shared" si="27"/>
        <v>1</v>
      </c>
      <c r="K101" s="5">
        <f t="shared" si="34"/>
        <v>0</v>
      </c>
      <c r="L101" s="5" t="e">
        <f t="shared" ca="1" si="28"/>
        <v>#NAME?</v>
      </c>
      <c r="M101" s="5" t="e">
        <f t="shared" ca="1" si="29"/>
        <v>#NAME?</v>
      </c>
      <c r="N101">
        <f t="shared" si="30"/>
        <v>1</v>
      </c>
      <c r="P101">
        <f t="shared" si="31"/>
        <v>172</v>
      </c>
      <c r="Q101" t="str">
        <f t="shared" si="39"/>
        <v/>
      </c>
      <c r="R101" t="str">
        <f t="shared" si="39"/>
        <v/>
      </c>
      <c r="S101" t="str">
        <f t="shared" si="39"/>
        <v/>
      </c>
      <c r="T101" t="str">
        <f t="shared" si="39"/>
        <v/>
      </c>
      <c r="U101" t="str">
        <f t="shared" si="39"/>
        <v/>
      </c>
      <c r="V101" t="str">
        <f t="shared" si="39"/>
        <v/>
      </c>
      <c r="Z101" t="str">
        <f t="shared" si="32"/>
        <v>ALAN COSTA</v>
      </c>
      <c r="AA101" t="str">
        <f t="shared" si="40"/>
        <v/>
      </c>
      <c r="AB101" t="str">
        <f t="shared" si="40"/>
        <v/>
      </c>
      <c r="AC101" t="str">
        <f t="shared" si="40"/>
        <v/>
      </c>
      <c r="AD101" t="str">
        <f t="shared" si="40"/>
        <v/>
      </c>
      <c r="AE101" t="str">
        <f t="shared" si="40"/>
        <v/>
      </c>
      <c r="AF101" t="str">
        <f t="shared" si="40"/>
        <v/>
      </c>
      <c r="AV101">
        <v>100</v>
      </c>
      <c r="AW101" t="s">
        <v>79</v>
      </c>
    </row>
    <row r="102" spans="1:49" ht="14.4" hidden="1">
      <c r="A102" s="9">
        <v>101</v>
      </c>
      <c r="B102" s="9" t="s">
        <v>80</v>
      </c>
      <c r="C102" s="10"/>
      <c r="D102" s="9"/>
      <c r="E102" s="9">
        <f>COUNTIF($C$1:C102,C102)</f>
        <v>0</v>
      </c>
      <c r="F102" s="9" t="str">
        <f t="shared" si="25"/>
        <v>0</v>
      </c>
      <c r="G102" s="9">
        <f t="shared" si="33"/>
        <v>0</v>
      </c>
      <c r="H102" s="9">
        <f t="shared" si="26"/>
        <v>0</v>
      </c>
      <c r="I102" s="2">
        <v>4754496806</v>
      </c>
      <c r="J102" s="3">
        <f t="shared" si="27"/>
        <v>3</v>
      </c>
      <c r="K102" s="3">
        <f t="shared" si="34"/>
        <v>3</v>
      </c>
      <c r="L102" s="3" t="e">
        <f t="shared" ca="1" si="28"/>
        <v>#NAME?</v>
      </c>
      <c r="M102" s="3" t="e">
        <f t="shared" ca="1" si="29"/>
        <v>#NAME?</v>
      </c>
      <c r="N102">
        <f t="shared" si="30"/>
        <v>0</v>
      </c>
      <c r="P102">
        <f t="shared" si="31"/>
        <v>179</v>
      </c>
      <c r="Q102" t="str">
        <f t="shared" ref="Q102:V111" si="41">IFERROR(" ,"&amp;INDEX($A$2:$A$501,MATCH($I102&amp;Q$1,$F$2:$F$501,0)),"")</f>
        <v xml:space="preserve"> ,444</v>
      </c>
      <c r="R102" t="str">
        <f t="shared" si="41"/>
        <v xml:space="preserve"> ,497</v>
      </c>
      <c r="S102" t="str">
        <f t="shared" si="41"/>
        <v/>
      </c>
      <c r="T102" t="str">
        <f t="shared" si="41"/>
        <v/>
      </c>
      <c r="U102" t="str">
        <f t="shared" si="41"/>
        <v/>
      </c>
      <c r="V102" t="str">
        <f t="shared" si="41"/>
        <v/>
      </c>
      <c r="Z102" t="str">
        <f t="shared" si="32"/>
        <v>SIMARA show car pg</v>
      </c>
      <c r="AA102" t="str">
        <f t="shared" ref="AA102:AF111" si="42">IFERROR(" ,"&amp;INDEX($B$2:$B$501,MATCH($I102&amp;AA$1,$F$2:$F$501,0)),"")</f>
        <v xml:space="preserve"> ,ADILSON pg</v>
      </c>
      <c r="AB102" t="str">
        <f t="shared" si="42"/>
        <v xml:space="preserve"> ,ADILSON pg</v>
      </c>
      <c r="AC102" t="str">
        <f t="shared" si="42"/>
        <v/>
      </c>
      <c r="AD102" t="str">
        <f t="shared" si="42"/>
        <v/>
      </c>
      <c r="AE102" t="str">
        <f t="shared" si="42"/>
        <v/>
      </c>
      <c r="AF102" t="str">
        <f t="shared" si="42"/>
        <v/>
      </c>
      <c r="AV102">
        <v>101</v>
      </c>
      <c r="AW102" t="s">
        <v>80</v>
      </c>
    </row>
    <row r="103" spans="1:49" ht="14.4" hidden="1">
      <c r="A103" s="9">
        <v>102</v>
      </c>
      <c r="B103" s="9" t="s">
        <v>81</v>
      </c>
      <c r="C103" s="10">
        <v>2672706341</v>
      </c>
      <c r="D103" s="9" t="s">
        <v>280</v>
      </c>
      <c r="E103" s="9">
        <f>COUNTIF($C$1:C103,C103)</f>
        <v>1</v>
      </c>
      <c r="F103" s="9" t="str">
        <f t="shared" si="25"/>
        <v>26727063411</v>
      </c>
      <c r="G103" s="9">
        <f t="shared" si="33"/>
        <v>0</v>
      </c>
      <c r="H103" s="9">
        <f t="shared" si="26"/>
        <v>0</v>
      </c>
      <c r="I103" s="4">
        <v>2035406751</v>
      </c>
      <c r="J103" s="5">
        <f t="shared" si="27"/>
        <v>3</v>
      </c>
      <c r="K103" s="5">
        <f t="shared" si="34"/>
        <v>3</v>
      </c>
      <c r="L103" s="5" t="e">
        <f t="shared" ca="1" si="28"/>
        <v>#NAME?</v>
      </c>
      <c r="M103" s="5" t="e">
        <f t="shared" ca="1" si="29"/>
        <v>#NAME?</v>
      </c>
      <c r="N103">
        <f t="shared" si="30"/>
        <v>0</v>
      </c>
      <c r="P103">
        <f t="shared" si="31"/>
        <v>180</v>
      </c>
      <c r="Q103" t="str">
        <f t="shared" si="41"/>
        <v xml:space="preserve"> ,365</v>
      </c>
      <c r="R103" t="str">
        <f t="shared" si="41"/>
        <v xml:space="preserve"> ,420</v>
      </c>
      <c r="S103" t="str">
        <f t="shared" si="41"/>
        <v/>
      </c>
      <c r="T103" t="str">
        <f t="shared" si="41"/>
        <v/>
      </c>
      <c r="U103" t="str">
        <f t="shared" si="41"/>
        <v/>
      </c>
      <c r="V103" t="str">
        <f t="shared" si="41"/>
        <v/>
      </c>
      <c r="Z103" t="str">
        <f t="shared" si="32"/>
        <v>Bola de fogo pg</v>
      </c>
      <c r="AA103" t="str">
        <f t="shared" si="42"/>
        <v xml:space="preserve"> ,BOLA de fogo free</v>
      </c>
      <c r="AB103" t="str">
        <f t="shared" si="42"/>
        <v xml:space="preserve"> ,Bola de fogo pg</v>
      </c>
      <c r="AC103" t="str">
        <f t="shared" si="42"/>
        <v/>
      </c>
      <c r="AD103" t="str">
        <f t="shared" si="42"/>
        <v/>
      </c>
      <c r="AE103" t="str">
        <f t="shared" si="42"/>
        <v/>
      </c>
      <c r="AF103" t="str">
        <f t="shared" si="42"/>
        <v/>
      </c>
      <c r="AV103">
        <v>102</v>
      </c>
      <c r="AW103" t="s">
        <v>81</v>
      </c>
    </row>
    <row r="104" spans="1:49" ht="14.4" hidden="1">
      <c r="A104" s="9">
        <v>103</v>
      </c>
      <c r="B104" s="9" t="s">
        <v>82</v>
      </c>
      <c r="C104" s="10">
        <v>9144266464</v>
      </c>
      <c r="D104" s="9" t="s">
        <v>280</v>
      </c>
      <c r="E104" s="9">
        <f>COUNTIF($C$1:C104,C104)</f>
        <v>1</v>
      </c>
      <c r="F104" s="9" t="str">
        <f t="shared" si="25"/>
        <v>91442664641</v>
      </c>
      <c r="G104" s="9">
        <f t="shared" si="33"/>
        <v>1</v>
      </c>
      <c r="H104" s="9">
        <f t="shared" si="26"/>
        <v>0</v>
      </c>
      <c r="I104" s="2">
        <v>2034494860</v>
      </c>
      <c r="J104" s="3">
        <f t="shared" si="27"/>
        <v>2</v>
      </c>
      <c r="K104" s="3">
        <f t="shared" si="34"/>
        <v>2</v>
      </c>
      <c r="L104" s="3" t="e">
        <f t="shared" ca="1" si="28"/>
        <v>#NAME?</v>
      </c>
      <c r="M104" s="3" t="e">
        <f t="shared" ca="1" si="29"/>
        <v>#NAME?</v>
      </c>
      <c r="N104">
        <f t="shared" si="30"/>
        <v>0</v>
      </c>
      <c r="P104">
        <f t="shared" si="31"/>
        <v>182</v>
      </c>
      <c r="Q104" t="str">
        <f t="shared" si="41"/>
        <v xml:space="preserve"> ,265</v>
      </c>
      <c r="R104" t="str">
        <f t="shared" si="41"/>
        <v/>
      </c>
      <c r="S104" t="str">
        <f t="shared" si="41"/>
        <v/>
      </c>
      <c r="T104" t="str">
        <f t="shared" si="41"/>
        <v/>
      </c>
      <c r="U104" t="str">
        <f t="shared" si="41"/>
        <v/>
      </c>
      <c r="V104" t="str">
        <f t="shared" si="41"/>
        <v/>
      </c>
      <c r="Z104" t="str">
        <f t="shared" si="32"/>
        <v>SARMENTO pg</v>
      </c>
      <c r="AA104" t="str">
        <f t="shared" si="42"/>
        <v xml:space="preserve"> ,SARMENTO pg</v>
      </c>
      <c r="AB104" t="str">
        <f t="shared" si="42"/>
        <v/>
      </c>
      <c r="AC104" t="str">
        <f t="shared" si="42"/>
        <v/>
      </c>
      <c r="AD104" t="str">
        <f t="shared" si="42"/>
        <v/>
      </c>
      <c r="AE104" t="str">
        <f t="shared" si="42"/>
        <v/>
      </c>
      <c r="AF104" t="str">
        <f t="shared" si="42"/>
        <v/>
      </c>
      <c r="AV104">
        <v>103</v>
      </c>
      <c r="AW104" t="s">
        <v>82</v>
      </c>
    </row>
    <row r="105" spans="1:49" ht="14.4" hidden="1">
      <c r="A105" s="9">
        <v>104</v>
      </c>
      <c r="B105" s="9" t="s">
        <v>81</v>
      </c>
      <c r="C105" s="10">
        <v>2672706341</v>
      </c>
      <c r="D105" s="9" t="s">
        <v>280</v>
      </c>
      <c r="E105" s="9">
        <f>COUNTIF($C$1:C105,C105)</f>
        <v>2</v>
      </c>
      <c r="F105" s="9" t="str">
        <f t="shared" si="25"/>
        <v>26727063412</v>
      </c>
      <c r="G105" s="9">
        <f t="shared" si="33"/>
        <v>0</v>
      </c>
      <c r="H105" s="9">
        <f t="shared" si="26"/>
        <v>0</v>
      </c>
      <c r="I105" s="4">
        <v>6465429753</v>
      </c>
      <c r="J105" s="5">
        <f t="shared" si="27"/>
        <v>1</v>
      </c>
      <c r="K105" s="5">
        <f t="shared" si="34"/>
        <v>1</v>
      </c>
      <c r="L105" s="5" t="e">
        <f t="shared" ca="1" si="28"/>
        <v>#NAME?</v>
      </c>
      <c r="M105" s="5" t="e">
        <f t="shared" ca="1" si="29"/>
        <v>#NAME?</v>
      </c>
      <c r="N105">
        <f t="shared" si="30"/>
        <v>0</v>
      </c>
      <c r="P105">
        <f t="shared" si="31"/>
        <v>185</v>
      </c>
      <c r="Q105" t="str">
        <f t="shared" si="41"/>
        <v/>
      </c>
      <c r="R105" t="str">
        <f t="shared" si="41"/>
        <v/>
      </c>
      <c r="S105" t="str">
        <f t="shared" si="41"/>
        <v/>
      </c>
      <c r="T105" t="str">
        <f t="shared" si="41"/>
        <v/>
      </c>
      <c r="U105" t="str">
        <f t="shared" si="41"/>
        <v/>
      </c>
      <c r="V105" t="str">
        <f t="shared" si="41"/>
        <v/>
      </c>
      <c r="Z105" t="str">
        <f t="shared" si="32"/>
        <v>DENILSON pg</v>
      </c>
      <c r="AA105" t="str">
        <f t="shared" si="42"/>
        <v/>
      </c>
      <c r="AB105" t="str">
        <f t="shared" si="42"/>
        <v/>
      </c>
      <c r="AC105" t="str">
        <f t="shared" si="42"/>
        <v/>
      </c>
      <c r="AD105" t="str">
        <f t="shared" si="42"/>
        <v/>
      </c>
      <c r="AE105" t="str">
        <f t="shared" si="42"/>
        <v/>
      </c>
      <c r="AF105" t="str">
        <f t="shared" si="42"/>
        <v/>
      </c>
      <c r="AV105">
        <v>104</v>
      </c>
      <c r="AW105" t="s">
        <v>81</v>
      </c>
    </row>
    <row r="106" spans="1:49">
      <c r="A106" s="9">
        <v>105</v>
      </c>
      <c r="B106" s="9" t="s">
        <v>83</v>
      </c>
      <c r="C106" s="10">
        <v>9146095697</v>
      </c>
      <c r="D106" s="9" t="s">
        <v>280</v>
      </c>
      <c r="E106" s="9">
        <f>COUNTIF($C$1:C106,C106)</f>
        <v>1</v>
      </c>
      <c r="F106" s="9" t="str">
        <f t="shared" si="25"/>
        <v>91460956971</v>
      </c>
      <c r="G106" s="9">
        <f t="shared" si="33"/>
        <v>0</v>
      </c>
      <c r="H106" s="9">
        <f t="shared" si="26"/>
        <v>0</v>
      </c>
      <c r="I106" s="2">
        <v>9142306486</v>
      </c>
      <c r="J106" s="3">
        <f t="shared" si="27"/>
        <v>1</v>
      </c>
      <c r="K106" s="3">
        <f t="shared" si="34"/>
        <v>0</v>
      </c>
      <c r="L106" s="3" t="e">
        <f t="shared" ca="1" si="28"/>
        <v>#NAME?</v>
      </c>
      <c r="M106" s="3" t="e">
        <f t="shared" ca="1" si="29"/>
        <v>#NAME?</v>
      </c>
      <c r="N106">
        <f t="shared" si="30"/>
        <v>1</v>
      </c>
      <c r="P106">
        <f t="shared" si="31"/>
        <v>187</v>
      </c>
      <c r="Q106" t="str">
        <f t="shared" si="41"/>
        <v/>
      </c>
      <c r="R106" t="str">
        <f t="shared" si="41"/>
        <v/>
      </c>
      <c r="S106" t="str">
        <f t="shared" si="41"/>
        <v/>
      </c>
      <c r="T106" t="str">
        <f t="shared" si="41"/>
        <v/>
      </c>
      <c r="U106" t="str">
        <f t="shared" si="41"/>
        <v/>
      </c>
      <c r="V106" t="str">
        <f t="shared" si="41"/>
        <v/>
      </c>
      <c r="Z106" t="str">
        <f t="shared" si="32"/>
        <v>JEFERSON</v>
      </c>
      <c r="AA106" t="str">
        <f t="shared" si="42"/>
        <v/>
      </c>
      <c r="AB106" t="str">
        <f t="shared" si="42"/>
        <v/>
      </c>
      <c r="AC106" t="str">
        <f t="shared" si="42"/>
        <v/>
      </c>
      <c r="AD106" t="str">
        <f t="shared" si="42"/>
        <v/>
      </c>
      <c r="AE106" t="str">
        <f t="shared" si="42"/>
        <v/>
      </c>
      <c r="AF106" t="str">
        <f t="shared" si="42"/>
        <v/>
      </c>
      <c r="AV106">
        <v>105</v>
      </c>
      <c r="AW106" t="s">
        <v>83</v>
      </c>
    </row>
    <row r="107" spans="1:49" ht="14.4" hidden="1">
      <c r="A107" s="9">
        <v>106</v>
      </c>
      <c r="B107" s="9" t="s">
        <v>81</v>
      </c>
      <c r="C107" s="10">
        <v>2672706341</v>
      </c>
      <c r="D107" s="9" t="s">
        <v>280</v>
      </c>
      <c r="E107" s="9">
        <f>COUNTIF($C$1:C107,C107)</f>
        <v>3</v>
      </c>
      <c r="F107" s="9" t="str">
        <f t="shared" si="25"/>
        <v>26727063413</v>
      </c>
      <c r="G107" s="9">
        <f t="shared" si="33"/>
        <v>0</v>
      </c>
      <c r="H107" s="9">
        <f t="shared" si="26"/>
        <v>0</v>
      </c>
      <c r="I107" s="4">
        <v>2038085888</v>
      </c>
      <c r="J107" s="5">
        <f t="shared" si="27"/>
        <v>2</v>
      </c>
      <c r="K107" s="5">
        <f t="shared" si="34"/>
        <v>2</v>
      </c>
      <c r="L107" s="5" t="e">
        <f t="shared" ca="1" si="28"/>
        <v>#NAME?</v>
      </c>
      <c r="M107" s="5" t="e">
        <f t="shared" ca="1" si="29"/>
        <v>#NAME?</v>
      </c>
      <c r="N107">
        <f t="shared" si="30"/>
        <v>0</v>
      </c>
      <c r="P107">
        <f t="shared" si="31"/>
        <v>193</v>
      </c>
      <c r="Q107" t="str">
        <f t="shared" si="41"/>
        <v xml:space="preserve"> ,495</v>
      </c>
      <c r="R107" t="str">
        <f t="shared" si="41"/>
        <v/>
      </c>
      <c r="S107" t="str">
        <f t="shared" si="41"/>
        <v/>
      </c>
      <c r="T107" t="str">
        <f t="shared" si="41"/>
        <v/>
      </c>
      <c r="U107" t="str">
        <f t="shared" si="41"/>
        <v/>
      </c>
      <c r="V107" t="str">
        <f t="shared" si="41"/>
        <v/>
      </c>
      <c r="Z107" t="str">
        <f t="shared" si="32"/>
        <v>JOSE CARLOS pg</v>
      </c>
      <c r="AA107" t="str">
        <f t="shared" si="42"/>
        <v xml:space="preserve"> ,JOSE CARLOS pg</v>
      </c>
      <c r="AB107" t="str">
        <f t="shared" si="42"/>
        <v/>
      </c>
      <c r="AC107" t="str">
        <f t="shared" si="42"/>
        <v/>
      </c>
      <c r="AD107" t="str">
        <f t="shared" si="42"/>
        <v/>
      </c>
      <c r="AE107" t="str">
        <f t="shared" si="42"/>
        <v/>
      </c>
      <c r="AF107" t="str">
        <f t="shared" si="42"/>
        <v/>
      </c>
      <c r="AV107">
        <v>106</v>
      </c>
      <c r="AW107" t="s">
        <v>81</v>
      </c>
    </row>
    <row r="108" spans="1:49" ht="14.4" hidden="1">
      <c r="A108" s="9">
        <v>107</v>
      </c>
      <c r="B108" s="9" t="s">
        <v>84</v>
      </c>
      <c r="C108" s="10"/>
      <c r="D108" s="9"/>
      <c r="E108" s="9">
        <f>COUNTIF($C$1:C108,C108)</f>
        <v>0</v>
      </c>
      <c r="F108" s="9" t="str">
        <f t="shared" si="25"/>
        <v>0</v>
      </c>
      <c r="G108" s="9">
        <f t="shared" si="33"/>
        <v>0</v>
      </c>
      <c r="H108" s="9">
        <f t="shared" si="26"/>
        <v>0</v>
      </c>
      <c r="I108" s="2">
        <v>2032401199</v>
      </c>
      <c r="J108" s="3">
        <f t="shared" si="27"/>
        <v>4</v>
      </c>
      <c r="K108" s="3">
        <f t="shared" si="34"/>
        <v>4</v>
      </c>
      <c r="L108" s="3" t="e">
        <f t="shared" ca="1" si="28"/>
        <v>#NAME?</v>
      </c>
      <c r="M108" s="3" t="e">
        <f t="shared" ca="1" si="29"/>
        <v>#NAME?</v>
      </c>
      <c r="N108">
        <f t="shared" si="30"/>
        <v>0</v>
      </c>
      <c r="P108">
        <f t="shared" si="31"/>
        <v>195</v>
      </c>
      <c r="Q108" t="str">
        <f t="shared" si="41"/>
        <v xml:space="preserve"> ,255</v>
      </c>
      <c r="R108" t="str">
        <f t="shared" si="41"/>
        <v xml:space="preserve"> ,264</v>
      </c>
      <c r="S108" t="str">
        <f t="shared" si="41"/>
        <v xml:space="preserve"> ,466</v>
      </c>
      <c r="T108" t="str">
        <f t="shared" si="41"/>
        <v/>
      </c>
      <c r="U108" t="str">
        <f t="shared" si="41"/>
        <v/>
      </c>
      <c r="V108" t="str">
        <f t="shared" si="41"/>
        <v/>
      </c>
      <c r="Z108" t="str">
        <f t="shared" si="32"/>
        <v>Iza pg</v>
      </c>
      <c r="AA108" t="str">
        <f t="shared" si="42"/>
        <v xml:space="preserve"> ,Iza pg</v>
      </c>
      <c r="AB108" t="str">
        <f t="shared" si="42"/>
        <v xml:space="preserve"> ,Iza free</v>
      </c>
      <c r="AC108" t="str">
        <f t="shared" si="42"/>
        <v xml:space="preserve"> ,Iza (amiga do juca) pg</v>
      </c>
      <c r="AD108" t="str">
        <f t="shared" si="42"/>
        <v/>
      </c>
      <c r="AE108" t="str">
        <f t="shared" si="42"/>
        <v/>
      </c>
      <c r="AF108" t="str">
        <f t="shared" si="42"/>
        <v/>
      </c>
      <c r="AV108">
        <v>107</v>
      </c>
      <c r="AW108" t="s">
        <v>84</v>
      </c>
    </row>
    <row r="109" spans="1:49">
      <c r="A109" s="9">
        <v>108</v>
      </c>
      <c r="B109" s="9" t="s">
        <v>85</v>
      </c>
      <c r="C109" s="10">
        <v>2032432447</v>
      </c>
      <c r="D109" s="9" t="s">
        <v>280</v>
      </c>
      <c r="E109" s="9">
        <f>COUNTIF($C$1:C109,C109)</f>
        <v>1</v>
      </c>
      <c r="F109" s="9" t="str">
        <f t="shared" si="25"/>
        <v>20324324471</v>
      </c>
      <c r="G109" s="9">
        <f t="shared" si="33"/>
        <v>0</v>
      </c>
      <c r="H109" s="9">
        <f t="shared" si="26"/>
        <v>0</v>
      </c>
      <c r="I109" s="4">
        <v>2034503366</v>
      </c>
      <c r="J109" s="5">
        <f t="shared" si="27"/>
        <v>1</v>
      </c>
      <c r="K109" s="5">
        <f t="shared" si="34"/>
        <v>0</v>
      </c>
      <c r="L109" s="5" t="e">
        <f t="shared" ca="1" si="28"/>
        <v>#NAME?</v>
      </c>
      <c r="M109" s="5" t="e">
        <f t="shared" ca="1" si="29"/>
        <v>#NAME?</v>
      </c>
      <c r="N109">
        <f t="shared" si="30"/>
        <v>1</v>
      </c>
      <c r="P109">
        <f t="shared" si="31"/>
        <v>197</v>
      </c>
      <c r="Q109" t="str">
        <f t="shared" si="41"/>
        <v/>
      </c>
      <c r="R109" t="str">
        <f t="shared" si="41"/>
        <v/>
      </c>
      <c r="S109" t="str">
        <f t="shared" si="41"/>
        <v/>
      </c>
      <c r="T109" t="str">
        <f t="shared" si="41"/>
        <v/>
      </c>
      <c r="U109" t="str">
        <f t="shared" si="41"/>
        <v/>
      </c>
      <c r="V109" t="str">
        <f t="shared" si="41"/>
        <v/>
      </c>
      <c r="Z109" t="str">
        <f t="shared" si="32"/>
        <v>WADSON FRANCO</v>
      </c>
      <c r="AA109" t="str">
        <f t="shared" si="42"/>
        <v/>
      </c>
      <c r="AB109" t="str">
        <f t="shared" si="42"/>
        <v/>
      </c>
      <c r="AC109" t="str">
        <f t="shared" si="42"/>
        <v/>
      </c>
      <c r="AD109" t="str">
        <f t="shared" si="42"/>
        <v/>
      </c>
      <c r="AE109" t="str">
        <f t="shared" si="42"/>
        <v/>
      </c>
      <c r="AF109" t="str">
        <f t="shared" si="42"/>
        <v/>
      </c>
      <c r="AV109">
        <v>108</v>
      </c>
      <c r="AW109" t="s">
        <v>85</v>
      </c>
    </row>
    <row r="110" spans="1:49">
      <c r="A110" s="9">
        <v>109</v>
      </c>
      <c r="B110" s="9" t="s">
        <v>86</v>
      </c>
      <c r="C110" s="10"/>
      <c r="D110" s="9"/>
      <c r="E110" s="9">
        <f>COUNTIF($C$1:C110,C110)</f>
        <v>0</v>
      </c>
      <c r="F110" s="9" t="str">
        <f t="shared" si="25"/>
        <v>0</v>
      </c>
      <c r="G110" s="9">
        <f t="shared" si="33"/>
        <v>0</v>
      </c>
      <c r="H110" s="9">
        <f t="shared" si="26"/>
        <v>0</v>
      </c>
      <c r="I110" s="2">
        <v>9148048287</v>
      </c>
      <c r="J110" s="3">
        <f t="shared" si="27"/>
        <v>2</v>
      </c>
      <c r="K110" s="3">
        <f t="shared" si="34"/>
        <v>0</v>
      </c>
      <c r="L110" s="3" t="e">
        <f t="shared" ca="1" si="28"/>
        <v>#NAME?</v>
      </c>
      <c r="M110" s="3" t="e">
        <f t="shared" ca="1" si="29"/>
        <v>#NAME?</v>
      </c>
      <c r="N110">
        <f t="shared" si="30"/>
        <v>2</v>
      </c>
      <c r="P110">
        <f t="shared" si="31"/>
        <v>199</v>
      </c>
      <c r="Q110" t="str">
        <f t="shared" si="41"/>
        <v xml:space="preserve"> ,499</v>
      </c>
      <c r="R110" t="str">
        <f t="shared" si="41"/>
        <v/>
      </c>
      <c r="S110" t="str">
        <f t="shared" si="41"/>
        <v/>
      </c>
      <c r="T110" t="str">
        <f t="shared" si="41"/>
        <v/>
      </c>
      <c r="U110" t="str">
        <f t="shared" si="41"/>
        <v/>
      </c>
      <c r="V110" t="str">
        <f t="shared" si="41"/>
        <v/>
      </c>
      <c r="Z110" t="str">
        <f t="shared" si="32"/>
        <v>TIA VERA</v>
      </c>
      <c r="AA110" t="str">
        <f t="shared" si="42"/>
        <v xml:space="preserve"> ,TIA VERA</v>
      </c>
      <c r="AB110" t="str">
        <f t="shared" si="42"/>
        <v/>
      </c>
      <c r="AC110" t="str">
        <f t="shared" si="42"/>
        <v/>
      </c>
      <c r="AD110" t="str">
        <f t="shared" si="42"/>
        <v/>
      </c>
      <c r="AE110" t="str">
        <f t="shared" si="42"/>
        <v/>
      </c>
      <c r="AF110" t="str">
        <f t="shared" si="42"/>
        <v/>
      </c>
      <c r="AV110">
        <v>109</v>
      </c>
      <c r="AW110" t="s">
        <v>86</v>
      </c>
    </row>
    <row r="111" spans="1:49">
      <c r="A111" s="9">
        <v>110</v>
      </c>
      <c r="B111" s="9" t="s">
        <v>39</v>
      </c>
      <c r="C111" s="10">
        <v>2038185657</v>
      </c>
      <c r="D111" s="9" t="s">
        <v>280</v>
      </c>
      <c r="E111" s="9">
        <f>COUNTIF($C$1:C111,C111)</f>
        <v>2</v>
      </c>
      <c r="F111" s="9" t="str">
        <f t="shared" si="25"/>
        <v>20381856572</v>
      </c>
      <c r="G111" s="9">
        <f t="shared" si="33"/>
        <v>1</v>
      </c>
      <c r="H111" s="9">
        <f t="shared" si="26"/>
        <v>0</v>
      </c>
      <c r="I111" s="4">
        <v>9144478366</v>
      </c>
      <c r="J111" s="5">
        <f t="shared" si="27"/>
        <v>1</v>
      </c>
      <c r="K111" s="5">
        <f t="shared" si="34"/>
        <v>0</v>
      </c>
      <c r="L111" s="5" t="e">
        <f t="shared" ca="1" si="28"/>
        <v>#NAME?</v>
      </c>
      <c r="M111" s="5" t="e">
        <f t="shared" ca="1" si="29"/>
        <v>#NAME?</v>
      </c>
      <c r="N111">
        <f t="shared" si="30"/>
        <v>1</v>
      </c>
      <c r="P111">
        <f t="shared" si="31"/>
        <v>200</v>
      </c>
      <c r="Q111" t="str">
        <f t="shared" si="41"/>
        <v/>
      </c>
      <c r="R111" t="str">
        <f t="shared" si="41"/>
        <v/>
      </c>
      <c r="S111" t="str">
        <f t="shared" si="41"/>
        <v/>
      </c>
      <c r="T111" t="str">
        <f t="shared" si="41"/>
        <v/>
      </c>
      <c r="U111" t="str">
        <f t="shared" si="41"/>
        <v/>
      </c>
      <c r="V111" t="str">
        <f t="shared" si="41"/>
        <v/>
      </c>
      <c r="Z111" t="str">
        <f t="shared" si="32"/>
        <v>Ricardo Souza</v>
      </c>
      <c r="AA111" t="str">
        <f t="shared" si="42"/>
        <v/>
      </c>
      <c r="AB111" t="str">
        <f t="shared" si="42"/>
        <v/>
      </c>
      <c r="AC111" t="str">
        <f t="shared" si="42"/>
        <v/>
      </c>
      <c r="AD111" t="str">
        <f t="shared" si="42"/>
        <v/>
      </c>
      <c r="AE111" t="str">
        <f t="shared" si="42"/>
        <v/>
      </c>
      <c r="AF111" t="str">
        <f t="shared" si="42"/>
        <v/>
      </c>
      <c r="AV111">
        <v>110</v>
      </c>
      <c r="AW111" t="s">
        <v>39</v>
      </c>
    </row>
    <row r="112" spans="1:49">
      <c r="A112" s="9">
        <v>111</v>
      </c>
      <c r="B112" s="9" t="s">
        <v>310</v>
      </c>
      <c r="C112" s="10">
        <v>9148302799</v>
      </c>
      <c r="D112" s="9" t="s">
        <v>280</v>
      </c>
      <c r="E112" s="9">
        <f>COUNTIF($C$1:C112,C112)</f>
        <v>1</v>
      </c>
      <c r="F112" s="9" t="str">
        <f t="shared" si="25"/>
        <v>91483027991</v>
      </c>
      <c r="G112" s="9">
        <f t="shared" si="33"/>
        <v>1</v>
      </c>
      <c r="H112" s="9">
        <f t="shared" si="26"/>
        <v>0</v>
      </c>
      <c r="I112" s="2">
        <v>2036192141</v>
      </c>
      <c r="J112" s="3">
        <f t="shared" si="27"/>
        <v>1</v>
      </c>
      <c r="K112" s="3">
        <f t="shared" si="34"/>
        <v>0</v>
      </c>
      <c r="L112" s="3" t="e">
        <f t="shared" ca="1" si="28"/>
        <v>#NAME?</v>
      </c>
      <c r="M112" s="3" t="e">
        <f t="shared" ca="1" si="29"/>
        <v>#NAME?</v>
      </c>
      <c r="N112">
        <f t="shared" si="30"/>
        <v>1</v>
      </c>
      <c r="P112">
        <f t="shared" si="31"/>
        <v>201</v>
      </c>
      <c r="Q112" t="str">
        <f t="shared" ref="Q112:V121" si="43">IFERROR(" ,"&amp;INDEX($A$2:$A$501,MATCH($I112&amp;Q$1,$F$2:$F$501,0)),"")</f>
        <v/>
      </c>
      <c r="R112" t="str">
        <f t="shared" si="43"/>
        <v/>
      </c>
      <c r="S112" t="str">
        <f t="shared" si="43"/>
        <v/>
      </c>
      <c r="T112" t="str">
        <f t="shared" si="43"/>
        <v/>
      </c>
      <c r="U112" t="str">
        <f t="shared" si="43"/>
        <v/>
      </c>
      <c r="V112" t="str">
        <f t="shared" si="43"/>
        <v/>
      </c>
      <c r="Z112" t="str">
        <f t="shared" si="32"/>
        <v>FABIAN</v>
      </c>
      <c r="AA112" t="str">
        <f t="shared" ref="AA112:AF121" si="44">IFERROR(" ,"&amp;INDEX($B$2:$B$501,MATCH($I112&amp;AA$1,$F$2:$F$501,0)),"")</f>
        <v/>
      </c>
      <c r="AB112" t="str">
        <f t="shared" si="44"/>
        <v/>
      </c>
      <c r="AC112" t="str">
        <f t="shared" si="44"/>
        <v/>
      </c>
      <c r="AD112" t="str">
        <f t="shared" si="44"/>
        <v/>
      </c>
      <c r="AE112" t="str">
        <f t="shared" si="44"/>
        <v/>
      </c>
      <c r="AF112" t="str">
        <f t="shared" si="44"/>
        <v/>
      </c>
      <c r="AV112">
        <v>111</v>
      </c>
      <c r="AW112" t="s">
        <v>87</v>
      </c>
    </row>
    <row r="113" spans="1:49">
      <c r="A113" s="9">
        <v>112</v>
      </c>
      <c r="B113" s="9" t="s">
        <v>88</v>
      </c>
      <c r="C113" s="10">
        <v>6313360222</v>
      </c>
      <c r="D113" s="9"/>
      <c r="E113" s="9">
        <f>COUNTIF($C$1:C113,C113)</f>
        <v>1</v>
      </c>
      <c r="F113" s="9" t="str">
        <f t="shared" si="25"/>
        <v>63133602221</v>
      </c>
      <c r="G113" s="9">
        <f t="shared" si="33"/>
        <v>1</v>
      </c>
      <c r="H113" s="9">
        <f t="shared" si="26"/>
        <v>0</v>
      </c>
      <c r="I113" s="4">
        <v>2038220554</v>
      </c>
      <c r="J113" s="5">
        <f t="shared" si="27"/>
        <v>1</v>
      </c>
      <c r="K113" s="5">
        <f t="shared" si="34"/>
        <v>0</v>
      </c>
      <c r="L113" s="5" t="e">
        <f t="shared" ca="1" si="28"/>
        <v>#NAME?</v>
      </c>
      <c r="M113" s="5" t="e">
        <f t="shared" ca="1" si="29"/>
        <v>#NAME?</v>
      </c>
      <c r="N113">
        <f t="shared" si="30"/>
        <v>1</v>
      </c>
      <c r="P113">
        <f t="shared" si="31"/>
        <v>203</v>
      </c>
      <c r="Q113" t="str">
        <f t="shared" si="43"/>
        <v/>
      </c>
      <c r="R113" t="str">
        <f t="shared" si="43"/>
        <v/>
      </c>
      <c r="S113" t="str">
        <f t="shared" si="43"/>
        <v/>
      </c>
      <c r="T113" t="str">
        <f t="shared" si="43"/>
        <v/>
      </c>
      <c r="U113" t="str">
        <f t="shared" si="43"/>
        <v/>
      </c>
      <c r="V113" t="str">
        <f t="shared" si="43"/>
        <v/>
      </c>
      <c r="Z113" t="str">
        <f t="shared" si="32"/>
        <v>ERIQUE DE FIGUEREDO</v>
      </c>
      <c r="AA113" t="str">
        <f t="shared" si="44"/>
        <v/>
      </c>
      <c r="AB113" t="str">
        <f t="shared" si="44"/>
        <v/>
      </c>
      <c r="AC113" t="str">
        <f t="shared" si="44"/>
        <v/>
      </c>
      <c r="AD113" t="str">
        <f t="shared" si="44"/>
        <v/>
      </c>
      <c r="AE113" t="str">
        <f t="shared" si="44"/>
        <v/>
      </c>
      <c r="AF113" t="str">
        <f t="shared" si="44"/>
        <v/>
      </c>
      <c r="AV113">
        <v>112</v>
      </c>
      <c r="AW113" t="s">
        <v>88</v>
      </c>
    </row>
    <row r="114" spans="1:49">
      <c r="A114" s="9">
        <v>113</v>
      </c>
      <c r="B114" s="9" t="s">
        <v>89</v>
      </c>
      <c r="C114" s="10">
        <v>2035456330</v>
      </c>
      <c r="D114" s="9" t="s">
        <v>280</v>
      </c>
      <c r="E114" s="9">
        <f>COUNTIF($C$1:C114,C114)</f>
        <v>1</v>
      </c>
      <c r="F114" s="9" t="str">
        <f t="shared" si="25"/>
        <v>20354563301</v>
      </c>
      <c r="G114" s="9">
        <f t="shared" si="33"/>
        <v>0</v>
      </c>
      <c r="H114" s="9">
        <f t="shared" si="26"/>
        <v>0</v>
      </c>
      <c r="I114" s="2">
        <v>9147558956</v>
      </c>
      <c r="J114" s="3">
        <f t="shared" si="27"/>
        <v>3</v>
      </c>
      <c r="K114" s="3">
        <f t="shared" si="34"/>
        <v>0</v>
      </c>
      <c r="L114" s="3" t="e">
        <f t="shared" ca="1" si="28"/>
        <v>#NAME?</v>
      </c>
      <c r="M114" s="3" t="e">
        <f t="shared" ca="1" si="29"/>
        <v>#NAME?</v>
      </c>
      <c r="N114">
        <f t="shared" si="30"/>
        <v>3</v>
      </c>
      <c r="P114">
        <f t="shared" si="31"/>
        <v>209</v>
      </c>
      <c r="Q114" t="str">
        <f t="shared" si="43"/>
        <v xml:space="preserve"> ,210</v>
      </c>
      <c r="R114" t="str">
        <f t="shared" si="43"/>
        <v xml:space="preserve"> ,220</v>
      </c>
      <c r="S114" t="str">
        <f t="shared" si="43"/>
        <v/>
      </c>
      <c r="T114" t="str">
        <f t="shared" si="43"/>
        <v/>
      </c>
      <c r="U114" t="str">
        <f t="shared" si="43"/>
        <v/>
      </c>
      <c r="V114" t="str">
        <f t="shared" si="43"/>
        <v/>
      </c>
      <c r="Z114" t="str">
        <f t="shared" si="32"/>
        <v>TIAGO ARAUJO</v>
      </c>
      <c r="AA114" t="str">
        <f t="shared" si="44"/>
        <v xml:space="preserve"> ,TIAGO ARAUJO</v>
      </c>
      <c r="AB114" t="str">
        <f t="shared" si="44"/>
        <v xml:space="preserve"> ,TIAGO ARAUJO</v>
      </c>
      <c r="AC114" t="str">
        <f t="shared" si="44"/>
        <v/>
      </c>
      <c r="AD114" t="str">
        <f t="shared" si="44"/>
        <v/>
      </c>
      <c r="AE114" t="str">
        <f t="shared" si="44"/>
        <v/>
      </c>
      <c r="AF114" t="str">
        <f t="shared" si="44"/>
        <v/>
      </c>
      <c r="AV114">
        <v>113</v>
      </c>
      <c r="AW114" t="s">
        <v>89</v>
      </c>
    </row>
    <row r="115" spans="1:49">
      <c r="A115" s="9">
        <v>114</v>
      </c>
      <c r="B115" s="9" t="s">
        <v>90</v>
      </c>
      <c r="C115" s="10">
        <v>4752142518</v>
      </c>
      <c r="D115" s="9" t="s">
        <v>280</v>
      </c>
      <c r="E115" s="9">
        <f>COUNTIF($C$1:C115,C115)</f>
        <v>1</v>
      </c>
      <c r="F115" s="9" t="str">
        <f t="shared" si="25"/>
        <v>47521425181</v>
      </c>
      <c r="G115" s="9">
        <f t="shared" si="33"/>
        <v>0</v>
      </c>
      <c r="H115" s="9">
        <f t="shared" si="26"/>
        <v>0</v>
      </c>
      <c r="I115" s="4">
        <v>2033606809</v>
      </c>
      <c r="J115" s="5">
        <f t="shared" si="27"/>
        <v>1</v>
      </c>
      <c r="K115" s="5">
        <f t="shared" si="34"/>
        <v>0</v>
      </c>
      <c r="L115" s="5" t="e">
        <f t="shared" ca="1" si="28"/>
        <v>#NAME?</v>
      </c>
      <c r="M115" s="5" t="e">
        <f t="shared" ca="1" si="29"/>
        <v>#NAME?</v>
      </c>
      <c r="N115">
        <f t="shared" si="30"/>
        <v>1</v>
      </c>
      <c r="P115">
        <f t="shared" si="31"/>
        <v>211</v>
      </c>
      <c r="Q115" t="str">
        <f t="shared" si="43"/>
        <v/>
      </c>
      <c r="R115" t="str">
        <f t="shared" si="43"/>
        <v/>
      </c>
      <c r="S115" t="str">
        <f t="shared" si="43"/>
        <v/>
      </c>
      <c r="T115" t="str">
        <f t="shared" si="43"/>
        <v/>
      </c>
      <c r="U115" t="str">
        <f t="shared" si="43"/>
        <v/>
      </c>
      <c r="V115" t="str">
        <f t="shared" si="43"/>
        <v/>
      </c>
      <c r="Z115" t="str">
        <f t="shared" si="32"/>
        <v>Roger/GUI</v>
      </c>
      <c r="AA115" t="str">
        <f t="shared" si="44"/>
        <v/>
      </c>
      <c r="AB115" t="str">
        <f t="shared" si="44"/>
        <v/>
      </c>
      <c r="AC115" t="str">
        <f t="shared" si="44"/>
        <v/>
      </c>
      <c r="AD115" t="str">
        <f t="shared" si="44"/>
        <v/>
      </c>
      <c r="AE115" t="str">
        <f t="shared" si="44"/>
        <v/>
      </c>
      <c r="AF115" t="str">
        <f t="shared" si="44"/>
        <v/>
      </c>
      <c r="AV115">
        <v>114</v>
      </c>
      <c r="AW115" t="s">
        <v>90</v>
      </c>
    </row>
    <row r="116" spans="1:49">
      <c r="A116" s="9">
        <v>115</v>
      </c>
      <c r="B116" s="9" t="s">
        <v>311</v>
      </c>
      <c r="C116" s="10">
        <v>2035192109</v>
      </c>
      <c r="D116" s="9" t="s">
        <v>313</v>
      </c>
      <c r="E116" s="9">
        <f>COUNTIF($C$1:C116,C116)</f>
        <v>1</v>
      </c>
      <c r="F116" s="9" t="str">
        <f t="shared" si="25"/>
        <v>20351921091</v>
      </c>
      <c r="G116" s="9">
        <f t="shared" si="33"/>
        <v>1</v>
      </c>
      <c r="H116" s="9">
        <f t="shared" si="26"/>
        <v>0</v>
      </c>
      <c r="I116" s="2">
        <v>9144695805</v>
      </c>
      <c r="J116" s="3">
        <f t="shared" si="27"/>
        <v>3</v>
      </c>
      <c r="K116" s="3">
        <f t="shared" si="34"/>
        <v>0</v>
      </c>
      <c r="L116" s="3" t="e">
        <f t="shared" ca="1" si="28"/>
        <v>#NAME?</v>
      </c>
      <c r="M116" s="3" t="e">
        <f t="shared" ca="1" si="29"/>
        <v>#NAME?</v>
      </c>
      <c r="N116">
        <f t="shared" si="30"/>
        <v>3</v>
      </c>
      <c r="P116">
        <f t="shared" si="31"/>
        <v>213</v>
      </c>
      <c r="Q116" t="str">
        <f t="shared" si="43"/>
        <v xml:space="preserve"> ,277</v>
      </c>
      <c r="R116" t="str">
        <f t="shared" si="43"/>
        <v xml:space="preserve"> ,391</v>
      </c>
      <c r="S116" t="str">
        <f t="shared" si="43"/>
        <v/>
      </c>
      <c r="T116" t="str">
        <f t="shared" si="43"/>
        <v/>
      </c>
      <c r="U116" t="str">
        <f t="shared" si="43"/>
        <v/>
      </c>
      <c r="V116" t="str">
        <f t="shared" si="43"/>
        <v/>
      </c>
      <c r="Z116" t="str">
        <f t="shared" si="32"/>
        <v>ZE CARLINHO /joao Batista</v>
      </c>
      <c r="AA116" t="str">
        <f t="shared" si="44"/>
        <v xml:space="preserve"> ,JOAO BATISTA</v>
      </c>
      <c r="AB116" t="str">
        <f t="shared" si="44"/>
        <v xml:space="preserve"> ,JOAO BATISTA</v>
      </c>
      <c r="AC116" t="str">
        <f t="shared" si="44"/>
        <v/>
      </c>
      <c r="AD116" t="str">
        <f t="shared" si="44"/>
        <v/>
      </c>
      <c r="AE116" t="str">
        <f t="shared" si="44"/>
        <v/>
      </c>
      <c r="AF116" t="str">
        <f t="shared" si="44"/>
        <v/>
      </c>
      <c r="AV116">
        <v>115</v>
      </c>
      <c r="AW116" t="s">
        <v>91</v>
      </c>
    </row>
    <row r="117" spans="1:49">
      <c r="A117" s="9">
        <v>116</v>
      </c>
      <c r="B117" s="9" t="s">
        <v>312</v>
      </c>
      <c r="C117" s="10">
        <v>2034909082</v>
      </c>
      <c r="D117" s="9" t="s">
        <v>313</v>
      </c>
      <c r="E117" s="9">
        <f>COUNTIF($C$1:C117,C117)</f>
        <v>1</v>
      </c>
      <c r="F117" s="9" t="str">
        <f t="shared" si="25"/>
        <v>20349090821</v>
      </c>
      <c r="G117" s="9">
        <f t="shared" si="33"/>
        <v>1</v>
      </c>
      <c r="H117" s="9">
        <f t="shared" si="26"/>
        <v>0</v>
      </c>
      <c r="I117" s="4">
        <v>4752378538</v>
      </c>
      <c r="J117" s="5">
        <f t="shared" si="27"/>
        <v>1</v>
      </c>
      <c r="K117" s="5">
        <f t="shared" si="34"/>
        <v>0</v>
      </c>
      <c r="L117" s="5" t="e">
        <f t="shared" ca="1" si="28"/>
        <v>#NAME?</v>
      </c>
      <c r="M117" s="5" t="e">
        <f t="shared" ca="1" si="29"/>
        <v>#NAME?</v>
      </c>
      <c r="N117">
        <f t="shared" si="30"/>
        <v>1</v>
      </c>
      <c r="P117">
        <f t="shared" si="31"/>
        <v>214</v>
      </c>
      <c r="Q117" t="str">
        <f t="shared" si="43"/>
        <v/>
      </c>
      <c r="R117" t="str">
        <f t="shared" si="43"/>
        <v/>
      </c>
      <c r="S117" t="str">
        <f t="shared" si="43"/>
        <v/>
      </c>
      <c r="T117" t="str">
        <f t="shared" si="43"/>
        <v/>
      </c>
      <c r="U117" t="str">
        <f t="shared" si="43"/>
        <v/>
      </c>
      <c r="V117" t="str">
        <f t="shared" si="43"/>
        <v/>
      </c>
      <c r="Z117" t="str">
        <f t="shared" si="32"/>
        <v>ERICK M</v>
      </c>
      <c r="AA117" t="str">
        <f t="shared" si="44"/>
        <v/>
      </c>
      <c r="AB117" t="str">
        <f t="shared" si="44"/>
        <v/>
      </c>
      <c r="AC117" t="str">
        <f t="shared" si="44"/>
        <v/>
      </c>
      <c r="AD117" t="str">
        <f t="shared" si="44"/>
        <v/>
      </c>
      <c r="AE117" t="str">
        <f t="shared" si="44"/>
        <v/>
      </c>
      <c r="AF117" t="str">
        <f t="shared" si="44"/>
        <v/>
      </c>
      <c r="AV117">
        <v>116</v>
      </c>
      <c r="AW117" t="s">
        <v>92</v>
      </c>
    </row>
    <row r="118" spans="1:49">
      <c r="A118" s="9">
        <v>117</v>
      </c>
      <c r="B118" s="9" t="s">
        <v>93</v>
      </c>
      <c r="C118" s="10">
        <v>2034029369</v>
      </c>
      <c r="D118" s="9" t="s">
        <v>280</v>
      </c>
      <c r="E118" s="9">
        <f>COUNTIF($C$1:C118,C118)</f>
        <v>1</v>
      </c>
      <c r="F118" s="9" t="str">
        <f t="shared" si="25"/>
        <v>20340293691</v>
      </c>
      <c r="G118" s="9">
        <f t="shared" si="33"/>
        <v>0</v>
      </c>
      <c r="H118" s="9">
        <f t="shared" si="26"/>
        <v>0</v>
      </c>
      <c r="I118" s="2">
        <v>9142270568</v>
      </c>
      <c r="J118" s="3">
        <f t="shared" si="27"/>
        <v>5</v>
      </c>
      <c r="K118" s="3">
        <f t="shared" si="34"/>
        <v>0</v>
      </c>
      <c r="L118" s="3" t="e">
        <f t="shared" ca="1" si="28"/>
        <v>#NAME?</v>
      </c>
      <c r="M118" s="3" t="e">
        <f t="shared" ca="1" si="29"/>
        <v>#NAME?</v>
      </c>
      <c r="N118">
        <f t="shared" si="30"/>
        <v>5</v>
      </c>
      <c r="P118">
        <f t="shared" si="31"/>
        <v>216</v>
      </c>
      <c r="Q118" t="str">
        <f t="shared" si="43"/>
        <v xml:space="preserve"> ,223</v>
      </c>
      <c r="R118" t="str">
        <f t="shared" si="43"/>
        <v xml:space="preserve"> ,257</v>
      </c>
      <c r="S118" t="str">
        <f t="shared" si="43"/>
        <v xml:space="preserve"> ,307</v>
      </c>
      <c r="T118" t="str">
        <f t="shared" si="43"/>
        <v xml:space="preserve"> ,400</v>
      </c>
      <c r="U118" t="str">
        <f t="shared" si="43"/>
        <v/>
      </c>
      <c r="V118" t="str">
        <f t="shared" si="43"/>
        <v/>
      </c>
      <c r="Z118" t="str">
        <f t="shared" si="32"/>
        <v>Danilex</v>
      </c>
      <c r="AA118" t="str">
        <f t="shared" si="44"/>
        <v xml:space="preserve"> ,DANILEX</v>
      </c>
      <c r="AB118" t="str">
        <f t="shared" si="44"/>
        <v xml:space="preserve"> ,DANILEX</v>
      </c>
      <c r="AC118" t="str">
        <f t="shared" si="44"/>
        <v xml:space="preserve"> ,DANILEX</v>
      </c>
      <c r="AD118" t="str">
        <f t="shared" si="44"/>
        <v xml:space="preserve"> ,DANILEX</v>
      </c>
      <c r="AE118" t="str">
        <f t="shared" si="44"/>
        <v/>
      </c>
      <c r="AF118" t="str">
        <f t="shared" si="44"/>
        <v/>
      </c>
      <c r="AV118">
        <v>117</v>
      </c>
      <c r="AW118" t="s">
        <v>93</v>
      </c>
    </row>
    <row r="119" spans="1:49">
      <c r="A119" s="9">
        <v>118</v>
      </c>
      <c r="B119" s="9" t="s">
        <v>89</v>
      </c>
      <c r="C119" s="10">
        <v>2035456330</v>
      </c>
      <c r="D119" s="9" t="s">
        <v>280</v>
      </c>
      <c r="E119" s="9">
        <f>COUNTIF($C$1:C119,C119)</f>
        <v>2</v>
      </c>
      <c r="F119" s="9" t="str">
        <f t="shared" si="25"/>
        <v>20354563302</v>
      </c>
      <c r="G119" s="9">
        <f t="shared" si="33"/>
        <v>0</v>
      </c>
      <c r="H119" s="9">
        <f t="shared" si="26"/>
        <v>0</v>
      </c>
      <c r="I119" s="4">
        <v>2035229574</v>
      </c>
      <c r="J119" s="5">
        <f t="shared" si="27"/>
        <v>3</v>
      </c>
      <c r="K119" s="5">
        <f t="shared" si="34"/>
        <v>0</v>
      </c>
      <c r="L119" s="5" t="e">
        <f t="shared" ca="1" si="28"/>
        <v>#NAME?</v>
      </c>
      <c r="M119" s="5" t="e">
        <f t="shared" ca="1" si="29"/>
        <v>#NAME?</v>
      </c>
      <c r="N119">
        <f t="shared" si="30"/>
        <v>3</v>
      </c>
      <c r="P119">
        <f t="shared" si="31"/>
        <v>218</v>
      </c>
      <c r="Q119" t="str">
        <f t="shared" si="43"/>
        <v xml:space="preserve"> ,219</v>
      </c>
      <c r="R119" t="str">
        <f t="shared" si="43"/>
        <v xml:space="preserve"> ,285</v>
      </c>
      <c r="S119" t="str">
        <f t="shared" si="43"/>
        <v/>
      </c>
      <c r="T119" t="str">
        <f t="shared" si="43"/>
        <v/>
      </c>
      <c r="U119" t="str">
        <f t="shared" si="43"/>
        <v/>
      </c>
      <c r="V119" t="str">
        <f t="shared" si="43"/>
        <v/>
      </c>
      <c r="Z119" t="str">
        <f t="shared" si="32"/>
        <v>Danielzinho</v>
      </c>
      <c r="AA119" t="str">
        <f t="shared" si="44"/>
        <v xml:space="preserve"> ,Danielzinho</v>
      </c>
      <c r="AB119" t="str">
        <f t="shared" si="44"/>
        <v xml:space="preserve"> ,Danielzinho</v>
      </c>
      <c r="AC119" t="str">
        <f t="shared" si="44"/>
        <v/>
      </c>
      <c r="AD119" t="str">
        <f t="shared" si="44"/>
        <v/>
      </c>
      <c r="AE119" t="str">
        <f t="shared" si="44"/>
        <v/>
      </c>
      <c r="AF119" t="str">
        <f t="shared" si="44"/>
        <v/>
      </c>
      <c r="AV119">
        <v>118</v>
      </c>
      <c r="AW119" t="s">
        <v>89</v>
      </c>
    </row>
    <row r="120" spans="1:49">
      <c r="A120" s="9">
        <v>119</v>
      </c>
      <c r="B120" s="9" t="s">
        <v>94</v>
      </c>
      <c r="C120" s="10"/>
      <c r="D120" s="9" t="s">
        <v>281</v>
      </c>
      <c r="E120" s="9">
        <f>COUNTIF($C$1:C120,C120)</f>
        <v>0</v>
      </c>
      <c r="F120" s="9" t="str">
        <f t="shared" si="25"/>
        <v>0</v>
      </c>
      <c r="G120" s="9">
        <f t="shared" si="33"/>
        <v>0</v>
      </c>
      <c r="H120" s="9">
        <f t="shared" si="26"/>
        <v>0</v>
      </c>
      <c r="I120" s="2">
        <v>9143563105</v>
      </c>
      <c r="J120" s="3">
        <f t="shared" si="27"/>
        <v>3</v>
      </c>
      <c r="K120" s="3">
        <f t="shared" si="34"/>
        <v>2</v>
      </c>
      <c r="L120" s="3" t="e">
        <f t="shared" ca="1" si="28"/>
        <v>#NAME?</v>
      </c>
      <c r="M120" s="3" t="e">
        <f t="shared" ca="1" si="29"/>
        <v>#NAME?</v>
      </c>
      <c r="N120">
        <f t="shared" si="30"/>
        <v>1</v>
      </c>
      <c r="P120">
        <f t="shared" si="31"/>
        <v>221</v>
      </c>
      <c r="Q120" t="str">
        <f t="shared" si="43"/>
        <v xml:space="preserve"> ,356</v>
      </c>
      <c r="R120" t="str">
        <f t="shared" si="43"/>
        <v xml:space="preserve"> ,364</v>
      </c>
      <c r="S120" t="str">
        <f t="shared" si="43"/>
        <v/>
      </c>
      <c r="T120" t="str">
        <f t="shared" si="43"/>
        <v/>
      </c>
      <c r="U120" t="str">
        <f t="shared" si="43"/>
        <v/>
      </c>
      <c r="V120" t="str">
        <f t="shared" si="43"/>
        <v/>
      </c>
      <c r="Z120" t="str">
        <f t="shared" si="32"/>
        <v>DANIEL</v>
      </c>
      <c r="AA120" t="str">
        <f t="shared" si="44"/>
        <v xml:space="preserve"> ,DANIEL SILVA pg</v>
      </c>
      <c r="AB120" t="str">
        <f t="shared" si="44"/>
        <v xml:space="preserve"> ,Daniel Silva pg</v>
      </c>
      <c r="AC120" t="str">
        <f t="shared" si="44"/>
        <v/>
      </c>
      <c r="AD120" t="str">
        <f t="shared" si="44"/>
        <v/>
      </c>
      <c r="AE120" t="str">
        <f t="shared" si="44"/>
        <v/>
      </c>
      <c r="AF120" t="str">
        <f t="shared" si="44"/>
        <v/>
      </c>
      <c r="AV120">
        <v>119</v>
      </c>
      <c r="AW120" t="s">
        <v>94</v>
      </c>
    </row>
    <row r="121" spans="1:49">
      <c r="A121" s="9">
        <v>120</v>
      </c>
      <c r="B121" s="9" t="s">
        <v>58</v>
      </c>
      <c r="C121" s="10">
        <v>9144175819</v>
      </c>
      <c r="D121" s="9" t="s">
        <v>280</v>
      </c>
      <c r="E121" s="9">
        <f>COUNTIF($C$1:C121,C121)</f>
        <v>2</v>
      </c>
      <c r="F121" s="9" t="str">
        <f t="shared" si="25"/>
        <v>91441758192</v>
      </c>
      <c r="G121" s="9">
        <f t="shared" si="33"/>
        <v>0</v>
      </c>
      <c r="H121" s="9">
        <f t="shared" si="26"/>
        <v>0</v>
      </c>
      <c r="I121" s="4">
        <v>5511973919591</v>
      </c>
      <c r="J121" s="5">
        <f t="shared" si="27"/>
        <v>1</v>
      </c>
      <c r="K121" s="5">
        <f t="shared" si="34"/>
        <v>0</v>
      </c>
      <c r="L121" s="5" t="e">
        <f t="shared" ca="1" si="28"/>
        <v>#NAME?</v>
      </c>
      <c r="M121" s="5" t="e">
        <f t="shared" ca="1" si="29"/>
        <v>#NAME?</v>
      </c>
      <c r="N121">
        <f t="shared" si="30"/>
        <v>1</v>
      </c>
      <c r="P121">
        <f t="shared" si="31"/>
        <v>222</v>
      </c>
      <c r="Q121" t="str">
        <f t="shared" si="43"/>
        <v/>
      </c>
      <c r="R121" t="str">
        <f t="shared" si="43"/>
        <v/>
      </c>
      <c r="S121" t="str">
        <f t="shared" si="43"/>
        <v/>
      </c>
      <c r="T121" t="str">
        <f t="shared" si="43"/>
        <v/>
      </c>
      <c r="U121" t="str">
        <f t="shared" si="43"/>
        <v/>
      </c>
      <c r="V121" t="str">
        <f t="shared" si="43"/>
        <v/>
      </c>
      <c r="Z121" t="str">
        <f t="shared" si="32"/>
        <v>ALEXANDRE BATISTA</v>
      </c>
      <c r="AA121" t="str">
        <f t="shared" si="44"/>
        <v/>
      </c>
      <c r="AB121" t="str">
        <f t="shared" si="44"/>
        <v/>
      </c>
      <c r="AC121" t="str">
        <f t="shared" si="44"/>
        <v/>
      </c>
      <c r="AD121" t="str">
        <f t="shared" si="44"/>
        <v/>
      </c>
      <c r="AE121" t="str">
        <f t="shared" si="44"/>
        <v/>
      </c>
      <c r="AF121" t="str">
        <f t="shared" si="44"/>
        <v/>
      </c>
      <c r="AV121">
        <v>120</v>
      </c>
      <c r="AW121" t="s">
        <v>58</v>
      </c>
    </row>
    <row r="122" spans="1:49">
      <c r="A122" s="9">
        <v>121</v>
      </c>
      <c r="B122" s="9" t="s">
        <v>305</v>
      </c>
      <c r="C122" s="10">
        <v>9147602272</v>
      </c>
      <c r="D122" s="9" t="s">
        <v>280</v>
      </c>
      <c r="E122" s="9">
        <f>COUNTIF($C$1:C122,C122)</f>
        <v>3</v>
      </c>
      <c r="F122" s="9" t="str">
        <f t="shared" si="25"/>
        <v>91476022723</v>
      </c>
      <c r="G122" s="9">
        <f t="shared" si="33"/>
        <v>1</v>
      </c>
      <c r="H122" s="9">
        <f t="shared" si="26"/>
        <v>0</v>
      </c>
      <c r="I122" s="2">
        <v>5515879636</v>
      </c>
      <c r="J122" s="3">
        <f t="shared" si="27"/>
        <v>2</v>
      </c>
      <c r="K122" s="3">
        <f t="shared" si="34"/>
        <v>0</v>
      </c>
      <c r="L122" s="3" t="e">
        <f t="shared" ca="1" si="28"/>
        <v>#NAME?</v>
      </c>
      <c r="M122" s="3" t="e">
        <f t="shared" ca="1" si="29"/>
        <v>#NAME?</v>
      </c>
      <c r="N122">
        <f t="shared" si="30"/>
        <v>2</v>
      </c>
      <c r="P122">
        <f t="shared" si="31"/>
        <v>225</v>
      </c>
      <c r="Q122" t="str">
        <f t="shared" ref="Q122:V131" si="45">IFERROR(" ,"&amp;INDEX($A$2:$A$501,MATCH($I122&amp;Q$1,$F$2:$F$501,0)),"")</f>
        <v xml:space="preserve"> ,410</v>
      </c>
      <c r="R122" t="str">
        <f t="shared" si="45"/>
        <v/>
      </c>
      <c r="S122" t="str">
        <f t="shared" si="45"/>
        <v/>
      </c>
      <c r="T122" t="str">
        <f t="shared" si="45"/>
        <v/>
      </c>
      <c r="U122" t="str">
        <f t="shared" si="45"/>
        <v/>
      </c>
      <c r="V122" t="str">
        <f t="shared" si="45"/>
        <v/>
      </c>
      <c r="Z122" t="str">
        <f t="shared" si="32"/>
        <v>STEPHANIE /Eduardo</v>
      </c>
      <c r="AA122" t="str">
        <f t="shared" ref="AA122:AF131" si="46">IFERROR(" ,"&amp;INDEX($B$2:$B$501,MATCH($I122&amp;AA$1,$F$2:$F$501,0)),"")</f>
        <v xml:space="preserve"> ,RENZO /Eduardo</v>
      </c>
      <c r="AB122" t="str">
        <f t="shared" si="46"/>
        <v/>
      </c>
      <c r="AC122" t="str">
        <f t="shared" si="46"/>
        <v/>
      </c>
      <c r="AD122" t="str">
        <f t="shared" si="46"/>
        <v/>
      </c>
      <c r="AE122" t="str">
        <f t="shared" si="46"/>
        <v/>
      </c>
      <c r="AF122" t="str">
        <f t="shared" si="46"/>
        <v/>
      </c>
      <c r="AV122">
        <v>121</v>
      </c>
      <c r="AW122" t="s">
        <v>51</v>
      </c>
    </row>
    <row r="123" spans="1:49">
      <c r="A123" s="9">
        <v>122</v>
      </c>
      <c r="B123" s="9" t="s">
        <v>95</v>
      </c>
      <c r="C123" s="10">
        <v>2035218381</v>
      </c>
      <c r="D123" s="9" t="s">
        <v>280</v>
      </c>
      <c r="E123" s="9">
        <f>COUNTIF($C$1:C123,C123)</f>
        <v>1</v>
      </c>
      <c r="F123" s="9" t="str">
        <f t="shared" si="25"/>
        <v>20352183811</v>
      </c>
      <c r="G123" s="9">
        <f t="shared" si="33"/>
        <v>1</v>
      </c>
      <c r="H123" s="9">
        <f t="shared" si="26"/>
        <v>0</v>
      </c>
      <c r="I123" s="4">
        <v>2036908251</v>
      </c>
      <c r="J123" s="5">
        <f t="shared" si="27"/>
        <v>4</v>
      </c>
      <c r="K123" s="5">
        <f t="shared" si="34"/>
        <v>0</v>
      </c>
      <c r="L123" s="5" t="e">
        <f t="shared" ca="1" si="28"/>
        <v>#NAME?</v>
      </c>
      <c r="M123" s="5" t="e">
        <f t="shared" ca="1" si="29"/>
        <v>#NAME?</v>
      </c>
      <c r="N123">
        <f t="shared" si="30"/>
        <v>4</v>
      </c>
      <c r="P123">
        <f t="shared" si="31"/>
        <v>228</v>
      </c>
      <c r="Q123" t="str">
        <f t="shared" si="45"/>
        <v xml:space="preserve"> ,413</v>
      </c>
      <c r="R123" t="str">
        <f t="shared" si="45"/>
        <v xml:space="preserve"> ,434</v>
      </c>
      <c r="S123" t="str">
        <f t="shared" si="45"/>
        <v xml:space="preserve"> ,448</v>
      </c>
      <c r="T123" t="str">
        <f t="shared" si="45"/>
        <v/>
      </c>
      <c r="U123" t="str">
        <f t="shared" si="45"/>
        <v/>
      </c>
      <c r="V123" t="str">
        <f t="shared" si="45"/>
        <v/>
      </c>
      <c r="Z123" t="str">
        <f t="shared" si="32"/>
        <v>CARLOS ROSA</v>
      </c>
      <c r="AA123" t="str">
        <f t="shared" si="46"/>
        <v xml:space="preserve"> ,SAMANTA ROSA /gallardo</v>
      </c>
      <c r="AB123" t="str">
        <f t="shared" si="46"/>
        <v xml:space="preserve"> ,GEYRY ZUELITA /gallardo</v>
      </c>
      <c r="AC123" t="str">
        <f t="shared" si="46"/>
        <v xml:space="preserve"> ,Marvin Rosa</v>
      </c>
      <c r="AD123" t="str">
        <f t="shared" si="46"/>
        <v/>
      </c>
      <c r="AE123" t="str">
        <f t="shared" si="46"/>
        <v/>
      </c>
      <c r="AF123" t="str">
        <f t="shared" si="46"/>
        <v/>
      </c>
      <c r="AV123">
        <v>122</v>
      </c>
      <c r="AW123" t="s">
        <v>95</v>
      </c>
    </row>
    <row r="124" spans="1:49">
      <c r="A124" s="9">
        <v>123</v>
      </c>
      <c r="B124" s="9" t="s">
        <v>96</v>
      </c>
      <c r="C124" s="10">
        <v>9144979492</v>
      </c>
      <c r="D124" s="9" t="s">
        <v>280</v>
      </c>
      <c r="E124" s="9">
        <f>COUNTIF($C$1:C124,C124)</f>
        <v>1</v>
      </c>
      <c r="F124" s="9" t="str">
        <f t="shared" si="25"/>
        <v>91449794921</v>
      </c>
      <c r="G124" s="9">
        <f t="shared" si="33"/>
        <v>0</v>
      </c>
      <c r="H124" s="9">
        <f t="shared" si="26"/>
        <v>0</v>
      </c>
      <c r="I124" s="2">
        <v>2039233002</v>
      </c>
      <c r="J124" s="3">
        <f t="shared" si="27"/>
        <v>2</v>
      </c>
      <c r="K124" s="3">
        <f t="shared" si="34"/>
        <v>0</v>
      </c>
      <c r="L124" s="3" t="e">
        <f t="shared" ca="1" si="28"/>
        <v>#NAME?</v>
      </c>
      <c r="M124" s="3" t="e">
        <f t="shared" ca="1" si="29"/>
        <v>#NAME?</v>
      </c>
      <c r="N124">
        <f t="shared" si="30"/>
        <v>2</v>
      </c>
      <c r="P124">
        <f t="shared" si="31"/>
        <v>230</v>
      </c>
      <c r="Q124" t="str">
        <f t="shared" si="45"/>
        <v xml:space="preserve"> ,269</v>
      </c>
      <c r="R124" t="str">
        <f t="shared" si="45"/>
        <v/>
      </c>
      <c r="S124" t="str">
        <f t="shared" si="45"/>
        <v/>
      </c>
      <c r="T124" t="str">
        <f t="shared" si="45"/>
        <v/>
      </c>
      <c r="U124" t="str">
        <f t="shared" si="45"/>
        <v/>
      </c>
      <c r="V124" t="str">
        <f t="shared" si="45"/>
        <v/>
      </c>
      <c r="Z124" t="str">
        <f t="shared" si="32"/>
        <v>FELIX COSTA</v>
      </c>
      <c r="AA124" t="str">
        <f t="shared" si="46"/>
        <v xml:space="preserve"> ,FELIX COSTA</v>
      </c>
      <c r="AB124" t="str">
        <f t="shared" si="46"/>
        <v/>
      </c>
      <c r="AC124" t="str">
        <f t="shared" si="46"/>
        <v/>
      </c>
      <c r="AD124" t="str">
        <f t="shared" si="46"/>
        <v/>
      </c>
      <c r="AE124" t="str">
        <f t="shared" si="46"/>
        <v/>
      </c>
      <c r="AF124" t="str">
        <f t="shared" si="46"/>
        <v/>
      </c>
      <c r="AV124">
        <v>123</v>
      </c>
      <c r="AW124" t="s">
        <v>96</v>
      </c>
    </row>
    <row r="125" spans="1:49">
      <c r="A125" s="9">
        <v>124</v>
      </c>
      <c r="B125" s="9" t="s">
        <v>97</v>
      </c>
      <c r="C125" s="10">
        <v>9143190338</v>
      </c>
      <c r="D125" s="9" t="s">
        <v>288</v>
      </c>
      <c r="E125" s="9">
        <f>COUNTIF($C$1:C125,C125)</f>
        <v>1</v>
      </c>
      <c r="F125" s="9" t="str">
        <f t="shared" si="25"/>
        <v>91431903381</v>
      </c>
      <c r="G125" s="9">
        <f t="shared" si="33"/>
        <v>1</v>
      </c>
      <c r="H125" s="9">
        <f t="shared" si="26"/>
        <v>0</v>
      </c>
      <c r="I125" s="4">
        <v>9143560756</v>
      </c>
      <c r="J125" s="5">
        <f t="shared" si="27"/>
        <v>2</v>
      </c>
      <c r="K125" s="5">
        <f t="shared" si="34"/>
        <v>0</v>
      </c>
      <c r="L125" s="5" t="e">
        <f t="shared" ca="1" si="28"/>
        <v>#NAME?</v>
      </c>
      <c r="M125" s="5" t="e">
        <f t="shared" ca="1" si="29"/>
        <v>#NAME?</v>
      </c>
      <c r="N125">
        <f t="shared" si="30"/>
        <v>2</v>
      </c>
      <c r="P125">
        <f t="shared" si="31"/>
        <v>235</v>
      </c>
      <c r="Q125" t="str">
        <f t="shared" si="45"/>
        <v xml:space="preserve"> ,346</v>
      </c>
      <c r="R125" t="str">
        <f t="shared" si="45"/>
        <v/>
      </c>
      <c r="S125" t="str">
        <f t="shared" si="45"/>
        <v/>
      </c>
      <c r="T125" t="str">
        <f t="shared" si="45"/>
        <v/>
      </c>
      <c r="U125" t="str">
        <f t="shared" si="45"/>
        <v/>
      </c>
      <c r="V125" t="str">
        <f t="shared" si="45"/>
        <v/>
      </c>
      <c r="Z125" t="str">
        <f t="shared" si="32"/>
        <v>RAFAEL IDEAL BRASIL</v>
      </c>
      <c r="AA125" t="str">
        <f t="shared" si="46"/>
        <v xml:space="preserve"> ,RAFAEL IDEAL BRASIL</v>
      </c>
      <c r="AB125" t="str">
        <f t="shared" si="46"/>
        <v/>
      </c>
      <c r="AC125" t="str">
        <f t="shared" si="46"/>
        <v/>
      </c>
      <c r="AD125" t="str">
        <f t="shared" si="46"/>
        <v/>
      </c>
      <c r="AE125" t="str">
        <f t="shared" si="46"/>
        <v/>
      </c>
      <c r="AF125" t="str">
        <f t="shared" si="46"/>
        <v/>
      </c>
      <c r="AV125">
        <v>124</v>
      </c>
      <c r="AW125" t="s">
        <v>97</v>
      </c>
    </row>
    <row r="126" spans="1:49">
      <c r="A126" s="9">
        <v>125</v>
      </c>
      <c r="B126" s="9" t="s">
        <v>317</v>
      </c>
      <c r="C126" s="10">
        <v>9149060181</v>
      </c>
      <c r="D126" s="9" t="s">
        <v>280</v>
      </c>
      <c r="E126" s="9">
        <f>COUNTIF($C$1:C126,C126)</f>
        <v>1</v>
      </c>
      <c r="F126" s="9" t="str">
        <f t="shared" si="25"/>
        <v>91490601811</v>
      </c>
      <c r="G126" s="9">
        <f t="shared" si="33"/>
        <v>1</v>
      </c>
      <c r="H126" s="9">
        <f t="shared" si="26"/>
        <v>0</v>
      </c>
      <c r="I126" s="2">
        <v>2034961500</v>
      </c>
      <c r="J126" s="3">
        <f t="shared" si="27"/>
        <v>1</v>
      </c>
      <c r="K126" s="3">
        <f t="shared" si="34"/>
        <v>0</v>
      </c>
      <c r="L126" s="3" t="e">
        <f t="shared" ca="1" si="28"/>
        <v>#NAME?</v>
      </c>
      <c r="M126" s="3" t="e">
        <f t="shared" ca="1" si="29"/>
        <v>#NAME?</v>
      </c>
      <c r="N126">
        <f t="shared" si="30"/>
        <v>1</v>
      </c>
      <c r="P126">
        <f t="shared" si="31"/>
        <v>237</v>
      </c>
      <c r="Q126" t="str">
        <f t="shared" si="45"/>
        <v/>
      </c>
      <c r="R126" t="str">
        <f t="shared" si="45"/>
        <v/>
      </c>
      <c r="S126" t="str">
        <f t="shared" si="45"/>
        <v/>
      </c>
      <c r="T126" t="str">
        <f t="shared" si="45"/>
        <v/>
      </c>
      <c r="U126" t="str">
        <f t="shared" si="45"/>
        <v/>
      </c>
      <c r="V126" t="str">
        <f t="shared" si="45"/>
        <v/>
      </c>
      <c r="Z126" t="str">
        <f t="shared" si="32"/>
        <v>Nilton</v>
      </c>
      <c r="AA126" t="str">
        <f t="shared" si="46"/>
        <v/>
      </c>
      <c r="AB126" t="str">
        <f t="shared" si="46"/>
        <v/>
      </c>
      <c r="AC126" t="str">
        <f t="shared" si="46"/>
        <v/>
      </c>
      <c r="AD126" t="str">
        <f t="shared" si="46"/>
        <v/>
      </c>
      <c r="AE126" t="str">
        <f t="shared" si="46"/>
        <v/>
      </c>
      <c r="AF126" t="str">
        <f t="shared" si="46"/>
        <v/>
      </c>
      <c r="AV126">
        <v>125</v>
      </c>
      <c r="AW126" t="s">
        <v>98</v>
      </c>
    </row>
    <row r="127" spans="1:49" ht="14.4" hidden="1">
      <c r="A127" s="9">
        <v>126</v>
      </c>
      <c r="B127" s="9" t="s">
        <v>45</v>
      </c>
      <c r="C127" s="10">
        <v>2039237387</v>
      </c>
      <c r="D127" s="9" t="s">
        <v>280</v>
      </c>
      <c r="E127" s="9">
        <f>COUNTIF($C$1:C127,C127)</f>
        <v>2</v>
      </c>
      <c r="F127" s="9" t="str">
        <f t="shared" si="25"/>
        <v>20392373872</v>
      </c>
      <c r="G127" s="9">
        <f t="shared" si="33"/>
        <v>0</v>
      </c>
      <c r="H127" s="9">
        <f t="shared" si="26"/>
        <v>0</v>
      </c>
      <c r="I127" s="4">
        <v>2033213501</v>
      </c>
      <c r="J127" s="5">
        <f t="shared" si="27"/>
        <v>1</v>
      </c>
      <c r="K127" s="5">
        <f t="shared" si="34"/>
        <v>1</v>
      </c>
      <c r="L127" s="5" t="e">
        <f t="shared" ca="1" si="28"/>
        <v>#NAME?</v>
      </c>
      <c r="M127" s="5" t="e">
        <f t="shared" ca="1" si="29"/>
        <v>#NAME?</v>
      </c>
      <c r="N127">
        <f t="shared" si="30"/>
        <v>0</v>
      </c>
      <c r="P127">
        <f t="shared" si="31"/>
        <v>243</v>
      </c>
      <c r="Q127" t="str">
        <f t="shared" si="45"/>
        <v/>
      </c>
      <c r="R127" t="str">
        <f t="shared" si="45"/>
        <v/>
      </c>
      <c r="S127" t="str">
        <f t="shared" si="45"/>
        <v/>
      </c>
      <c r="T127" t="str">
        <f t="shared" si="45"/>
        <v/>
      </c>
      <c r="U127" t="str">
        <f t="shared" si="45"/>
        <v/>
      </c>
      <c r="V127" t="str">
        <f t="shared" si="45"/>
        <v/>
      </c>
      <c r="Z127" t="str">
        <f t="shared" si="32"/>
        <v>PAPITO pg</v>
      </c>
      <c r="AA127" t="str">
        <f t="shared" si="46"/>
        <v/>
      </c>
      <c r="AB127" t="str">
        <f t="shared" si="46"/>
        <v/>
      </c>
      <c r="AC127" t="str">
        <f t="shared" si="46"/>
        <v/>
      </c>
      <c r="AD127" t="str">
        <f t="shared" si="46"/>
        <v/>
      </c>
      <c r="AE127" t="str">
        <f t="shared" si="46"/>
        <v/>
      </c>
      <c r="AF127" t="str">
        <f t="shared" si="46"/>
        <v/>
      </c>
      <c r="AV127">
        <v>126</v>
      </c>
      <c r="AW127" t="s">
        <v>45</v>
      </c>
    </row>
    <row r="128" spans="1:49">
      <c r="A128" s="9">
        <v>127</v>
      </c>
      <c r="B128" s="9" t="s">
        <v>99</v>
      </c>
      <c r="C128" s="10">
        <v>2039123543</v>
      </c>
      <c r="D128" s="9" t="s">
        <v>280</v>
      </c>
      <c r="E128" s="9">
        <f>COUNTIF($C$1:C128,C128)</f>
        <v>1</v>
      </c>
      <c r="F128" s="9" t="str">
        <f t="shared" si="25"/>
        <v>20391235431</v>
      </c>
      <c r="G128" s="9">
        <f t="shared" si="33"/>
        <v>0</v>
      </c>
      <c r="H128" s="9">
        <f t="shared" si="26"/>
        <v>0</v>
      </c>
      <c r="I128" s="2">
        <v>9145654765</v>
      </c>
      <c r="J128" s="3">
        <f t="shared" si="27"/>
        <v>1</v>
      </c>
      <c r="K128" s="3">
        <f t="shared" si="34"/>
        <v>0</v>
      </c>
      <c r="L128" s="3" t="e">
        <f t="shared" ca="1" si="28"/>
        <v>#NAME?</v>
      </c>
      <c r="M128" s="3" t="e">
        <f t="shared" ca="1" si="29"/>
        <v>#NAME?</v>
      </c>
      <c r="N128">
        <f t="shared" si="30"/>
        <v>1</v>
      </c>
      <c r="P128">
        <f t="shared" si="31"/>
        <v>244</v>
      </c>
      <c r="Q128" t="str">
        <f t="shared" si="45"/>
        <v/>
      </c>
      <c r="R128" t="str">
        <f t="shared" si="45"/>
        <v/>
      </c>
      <c r="S128" t="str">
        <f t="shared" si="45"/>
        <v/>
      </c>
      <c r="T128" t="str">
        <f t="shared" si="45"/>
        <v/>
      </c>
      <c r="U128" t="str">
        <f t="shared" si="45"/>
        <v/>
      </c>
      <c r="V128" t="str">
        <f t="shared" si="45"/>
        <v/>
      </c>
      <c r="Z128" t="str">
        <f t="shared" si="32"/>
        <v>Dani Fonseca</v>
      </c>
      <c r="AA128" t="str">
        <f t="shared" si="46"/>
        <v/>
      </c>
      <c r="AB128" t="str">
        <f t="shared" si="46"/>
        <v/>
      </c>
      <c r="AC128" t="str">
        <f t="shared" si="46"/>
        <v/>
      </c>
      <c r="AD128" t="str">
        <f t="shared" si="46"/>
        <v/>
      </c>
      <c r="AE128" t="str">
        <f t="shared" si="46"/>
        <v/>
      </c>
      <c r="AF128" t="str">
        <f t="shared" si="46"/>
        <v/>
      </c>
      <c r="AV128">
        <v>127</v>
      </c>
      <c r="AW128" t="s">
        <v>99</v>
      </c>
    </row>
    <row r="129" spans="1:49">
      <c r="A129" s="9">
        <v>128</v>
      </c>
      <c r="B129" s="9" t="s">
        <v>51</v>
      </c>
      <c r="C129" s="10">
        <v>9147602272</v>
      </c>
      <c r="D129" s="9" t="s">
        <v>280</v>
      </c>
      <c r="E129" s="9">
        <f>COUNTIF($C$1:C129,C129)</f>
        <v>4</v>
      </c>
      <c r="F129" s="9" t="str">
        <f t="shared" si="25"/>
        <v>91476022724</v>
      </c>
      <c r="G129" s="9">
        <f t="shared" si="33"/>
        <v>0</v>
      </c>
      <c r="H129" s="9">
        <f t="shared" si="26"/>
        <v>0</v>
      </c>
      <c r="I129" s="4">
        <v>5511976704883</v>
      </c>
      <c r="J129" s="5">
        <f t="shared" si="27"/>
        <v>2</v>
      </c>
      <c r="K129" s="5">
        <f t="shared" si="34"/>
        <v>0</v>
      </c>
      <c r="L129" s="5" t="e">
        <f t="shared" ca="1" si="28"/>
        <v>#NAME?</v>
      </c>
      <c r="M129" s="5" t="e">
        <f t="shared" ca="1" si="29"/>
        <v>#NAME?</v>
      </c>
      <c r="N129">
        <f t="shared" si="30"/>
        <v>2</v>
      </c>
      <c r="P129">
        <f t="shared" si="31"/>
        <v>245</v>
      </c>
      <c r="Q129" t="str">
        <f t="shared" si="45"/>
        <v xml:space="preserve"> ,270</v>
      </c>
      <c r="R129" t="str">
        <f t="shared" si="45"/>
        <v/>
      </c>
      <c r="S129" t="str">
        <f t="shared" si="45"/>
        <v/>
      </c>
      <c r="T129" t="str">
        <f t="shared" si="45"/>
        <v/>
      </c>
      <c r="U129" t="str">
        <f t="shared" si="45"/>
        <v/>
      </c>
      <c r="V129" t="str">
        <f t="shared" si="45"/>
        <v/>
      </c>
      <c r="Z129" t="str">
        <f t="shared" si="32"/>
        <v>Ivan</v>
      </c>
      <c r="AA129" t="str">
        <f t="shared" si="46"/>
        <v xml:space="preserve"> ,Ivan</v>
      </c>
      <c r="AB129" t="str">
        <f t="shared" si="46"/>
        <v/>
      </c>
      <c r="AC129" t="str">
        <f t="shared" si="46"/>
        <v/>
      </c>
      <c r="AD129" t="str">
        <f t="shared" si="46"/>
        <v/>
      </c>
      <c r="AE129" t="str">
        <f t="shared" si="46"/>
        <v/>
      </c>
      <c r="AF129" t="str">
        <f t="shared" si="46"/>
        <v/>
      </c>
      <c r="AV129">
        <v>128</v>
      </c>
      <c r="AW129" t="s">
        <v>51</v>
      </c>
    </row>
    <row r="130" spans="1:49">
      <c r="A130" s="9">
        <v>129</v>
      </c>
      <c r="B130" s="9" t="s">
        <v>100</v>
      </c>
      <c r="C130" s="10">
        <v>9145650041</v>
      </c>
      <c r="D130" s="9" t="s">
        <v>280</v>
      </c>
      <c r="E130" s="9">
        <f>COUNTIF($C$1:C130,C130)</f>
        <v>2</v>
      </c>
      <c r="F130" s="9" t="str">
        <f t="shared" si="25"/>
        <v>91456500412</v>
      </c>
      <c r="G130" s="9">
        <f t="shared" si="33"/>
        <v>0</v>
      </c>
      <c r="H130" s="9">
        <f t="shared" si="26"/>
        <v>0</v>
      </c>
      <c r="I130" s="2">
        <v>2038361045</v>
      </c>
      <c r="J130" s="3">
        <f t="shared" si="27"/>
        <v>1</v>
      </c>
      <c r="K130" s="3">
        <f t="shared" si="34"/>
        <v>0</v>
      </c>
      <c r="L130" s="3" t="e">
        <f t="shared" ca="1" si="28"/>
        <v>#NAME?</v>
      </c>
      <c r="M130" s="3" t="e">
        <f t="shared" ca="1" si="29"/>
        <v>#NAME?</v>
      </c>
      <c r="N130">
        <f t="shared" si="30"/>
        <v>1</v>
      </c>
      <c r="P130">
        <f t="shared" si="31"/>
        <v>247</v>
      </c>
      <c r="Q130" t="str">
        <f t="shared" si="45"/>
        <v/>
      </c>
      <c r="R130" t="str">
        <f t="shared" si="45"/>
        <v/>
      </c>
      <c r="S130" t="str">
        <f t="shared" si="45"/>
        <v/>
      </c>
      <c r="T130" t="str">
        <f t="shared" si="45"/>
        <v/>
      </c>
      <c r="U130" t="str">
        <f t="shared" si="45"/>
        <v/>
      </c>
      <c r="V130" t="str">
        <f t="shared" si="45"/>
        <v/>
      </c>
      <c r="Z130" t="str">
        <f t="shared" si="32"/>
        <v>Ivo</v>
      </c>
      <c r="AA130" t="str">
        <f t="shared" si="46"/>
        <v/>
      </c>
      <c r="AB130" t="str">
        <f t="shared" si="46"/>
        <v/>
      </c>
      <c r="AC130" t="str">
        <f t="shared" si="46"/>
        <v/>
      </c>
      <c r="AD130" t="str">
        <f t="shared" si="46"/>
        <v/>
      </c>
      <c r="AE130" t="str">
        <f t="shared" si="46"/>
        <v/>
      </c>
      <c r="AF130" t="str">
        <f t="shared" si="46"/>
        <v/>
      </c>
      <c r="AV130">
        <v>129</v>
      </c>
      <c r="AW130" t="s">
        <v>100</v>
      </c>
    </row>
    <row r="131" spans="1:49" ht="14.4" hidden="1">
      <c r="A131" s="9">
        <v>130</v>
      </c>
      <c r="B131" s="9" t="s">
        <v>101</v>
      </c>
      <c r="C131" s="10">
        <v>4752368737</v>
      </c>
      <c r="D131" s="9" t="s">
        <v>280</v>
      </c>
      <c r="E131" s="9">
        <f>COUNTIF($C$1:C131,C131)</f>
        <v>1</v>
      </c>
      <c r="F131" s="9" t="str">
        <f t="shared" ref="F131:F194" si="47">C131&amp;E131</f>
        <v>47523687371</v>
      </c>
      <c r="G131" s="9">
        <f t="shared" si="33"/>
        <v>0</v>
      </c>
      <c r="H131" s="9">
        <f t="shared" ref="H131:H194" si="48">IF(IFERROR(FIND("free",LOWER(B131)),0)=0,0,1)</f>
        <v>0</v>
      </c>
      <c r="I131" s="4">
        <v>4754590021</v>
      </c>
      <c r="J131" s="5">
        <f t="shared" ref="J131:J167" si="49">COUNTIF(C:C,I131)</f>
        <v>1</v>
      </c>
      <c r="K131" s="5">
        <f t="shared" si="34"/>
        <v>1</v>
      </c>
      <c r="L131" s="5" t="e">
        <f t="shared" ref="L131:L167" ca="1" si="50">_xlfn.CONCAT(P131:V131)</f>
        <v>#NAME?</v>
      </c>
      <c r="M131" s="5" t="e">
        <f t="shared" ref="M131:M167" ca="1" si="51">_xlfn.CONCAT(Z131:AF131)</f>
        <v>#NAME?</v>
      </c>
      <c r="N131">
        <f t="shared" ref="N131:N167" si="52">J131-K131</f>
        <v>0</v>
      </c>
      <c r="P131">
        <f t="shared" ref="P131:P167" si="53">IFERROR(INDEX($A$2:$A$501,MATCH($I131&amp;P$1,$F$2:$F$501,0)),"")</f>
        <v>250</v>
      </c>
      <c r="Q131" t="str">
        <f t="shared" si="45"/>
        <v/>
      </c>
      <c r="R131" t="str">
        <f t="shared" si="45"/>
        <v/>
      </c>
      <c r="S131" t="str">
        <f t="shared" si="45"/>
        <v/>
      </c>
      <c r="T131" t="str">
        <f t="shared" si="45"/>
        <v/>
      </c>
      <c r="U131" t="str">
        <f t="shared" si="45"/>
        <v/>
      </c>
      <c r="V131" t="str">
        <f t="shared" si="45"/>
        <v/>
      </c>
      <c r="Z131" t="str">
        <f t="shared" ref="Z131:Z167" si="54">IFERROR(INDEX($B$2:$B$501,MATCH($I131&amp;Z$1,$F$2:$F$501,0)),"")</f>
        <v>ROCHESTER pg</v>
      </c>
      <c r="AA131" t="str">
        <f t="shared" si="46"/>
        <v/>
      </c>
      <c r="AB131" t="str">
        <f t="shared" si="46"/>
        <v/>
      </c>
      <c r="AC131" t="str">
        <f t="shared" si="46"/>
        <v/>
      </c>
      <c r="AD131" t="str">
        <f t="shared" si="46"/>
        <v/>
      </c>
      <c r="AE131" t="str">
        <f t="shared" si="46"/>
        <v/>
      </c>
      <c r="AF131" t="str">
        <f t="shared" si="46"/>
        <v/>
      </c>
      <c r="AV131">
        <v>130</v>
      </c>
      <c r="AW131" t="s">
        <v>101</v>
      </c>
    </row>
    <row r="132" spans="1:49">
      <c r="A132" s="9">
        <v>131</v>
      </c>
      <c r="B132" s="9" t="s">
        <v>89</v>
      </c>
      <c r="C132" s="10">
        <v>2035456330</v>
      </c>
      <c r="D132" s="9" t="s">
        <v>280</v>
      </c>
      <c r="E132" s="9">
        <f>COUNTIF($C$1:C132,C132)</f>
        <v>3</v>
      </c>
      <c r="F132" s="9" t="str">
        <f t="shared" si="47"/>
        <v>20354563303</v>
      </c>
      <c r="G132" s="9">
        <f t="shared" ref="G132:G195" si="55">IF(IFERROR(FIND("pg",LOWER(B132)),0)=0,0,1)</f>
        <v>0</v>
      </c>
      <c r="H132" s="9">
        <f t="shared" si="48"/>
        <v>0</v>
      </c>
      <c r="I132" s="2">
        <v>4754494453</v>
      </c>
      <c r="J132" s="3">
        <f t="shared" si="49"/>
        <v>1</v>
      </c>
      <c r="K132" s="3">
        <f t="shared" si="34"/>
        <v>0</v>
      </c>
      <c r="L132" s="3" t="e">
        <f t="shared" ca="1" si="50"/>
        <v>#NAME?</v>
      </c>
      <c r="M132" s="3" t="e">
        <f t="shared" ca="1" si="51"/>
        <v>#NAME?</v>
      </c>
      <c r="N132">
        <f t="shared" si="52"/>
        <v>1</v>
      </c>
      <c r="P132">
        <f t="shared" si="53"/>
        <v>251</v>
      </c>
      <c r="Q132" t="str">
        <f t="shared" ref="Q132:V141" si="56">IFERROR(" ,"&amp;INDEX($A$2:$A$501,MATCH($I132&amp;Q$1,$F$2:$F$501,0)),"")</f>
        <v/>
      </c>
      <c r="R132" t="str">
        <f t="shared" si="56"/>
        <v/>
      </c>
      <c r="S132" t="str">
        <f t="shared" si="56"/>
        <v/>
      </c>
      <c r="T132" t="str">
        <f t="shared" si="56"/>
        <v/>
      </c>
      <c r="U132" t="str">
        <f t="shared" si="56"/>
        <v/>
      </c>
      <c r="V132" t="str">
        <f t="shared" si="56"/>
        <v/>
      </c>
      <c r="Z132" t="str">
        <f t="shared" si="54"/>
        <v>ROSE</v>
      </c>
      <c r="AA132" t="str">
        <f t="shared" ref="AA132:AF141" si="57">IFERROR(" ,"&amp;INDEX($B$2:$B$501,MATCH($I132&amp;AA$1,$F$2:$F$501,0)),"")</f>
        <v/>
      </c>
      <c r="AB132" t="str">
        <f t="shared" si="57"/>
        <v/>
      </c>
      <c r="AC132" t="str">
        <f t="shared" si="57"/>
        <v/>
      </c>
      <c r="AD132" t="str">
        <f t="shared" si="57"/>
        <v/>
      </c>
      <c r="AE132" t="str">
        <f t="shared" si="57"/>
        <v/>
      </c>
      <c r="AF132" t="str">
        <f t="shared" si="57"/>
        <v/>
      </c>
      <c r="AV132">
        <v>131</v>
      </c>
      <c r="AW132" t="s">
        <v>89</v>
      </c>
    </row>
    <row r="133" spans="1:49" ht="14.4" hidden="1">
      <c r="A133" s="9">
        <v>132</v>
      </c>
      <c r="B133" s="9" t="s">
        <v>102</v>
      </c>
      <c r="C133" s="10">
        <v>2032472211</v>
      </c>
      <c r="D133" s="9" t="s">
        <v>280</v>
      </c>
      <c r="E133" s="9">
        <f>COUNTIF($C$1:C133,C133)</f>
        <v>1</v>
      </c>
      <c r="F133" s="9" t="str">
        <f t="shared" si="47"/>
        <v>20324722111</v>
      </c>
      <c r="G133" s="9">
        <f t="shared" si="55"/>
        <v>0</v>
      </c>
      <c r="H133" s="9">
        <f t="shared" si="48"/>
        <v>0</v>
      </c>
      <c r="I133" s="4">
        <v>2038078841</v>
      </c>
      <c r="J133" s="5">
        <f t="shared" si="49"/>
        <v>2</v>
      </c>
      <c r="K133" s="5">
        <f t="shared" si="34"/>
        <v>2</v>
      </c>
      <c r="L133" s="5" t="e">
        <f t="shared" ca="1" si="50"/>
        <v>#NAME?</v>
      </c>
      <c r="M133" s="5" t="e">
        <f t="shared" ca="1" si="51"/>
        <v>#NAME?</v>
      </c>
      <c r="N133">
        <f t="shared" si="52"/>
        <v>0</v>
      </c>
      <c r="P133">
        <f t="shared" si="53"/>
        <v>256</v>
      </c>
      <c r="Q133" t="str">
        <f t="shared" si="56"/>
        <v xml:space="preserve"> ,386</v>
      </c>
      <c r="R133" t="str">
        <f t="shared" si="56"/>
        <v/>
      </c>
      <c r="S133" t="str">
        <f t="shared" si="56"/>
        <v/>
      </c>
      <c r="T133" t="str">
        <f t="shared" si="56"/>
        <v/>
      </c>
      <c r="U133" t="str">
        <f t="shared" si="56"/>
        <v/>
      </c>
      <c r="V133" t="str">
        <f t="shared" si="56"/>
        <v/>
      </c>
      <c r="Z133" t="str">
        <f t="shared" si="54"/>
        <v>RONI pg</v>
      </c>
      <c r="AA133" t="str">
        <f t="shared" si="57"/>
        <v xml:space="preserve"> ,Ronni pg</v>
      </c>
      <c r="AB133" t="str">
        <f t="shared" si="57"/>
        <v/>
      </c>
      <c r="AC133" t="str">
        <f t="shared" si="57"/>
        <v/>
      </c>
      <c r="AD133" t="str">
        <f t="shared" si="57"/>
        <v/>
      </c>
      <c r="AE133" t="str">
        <f t="shared" si="57"/>
        <v/>
      </c>
      <c r="AF133" t="str">
        <f t="shared" si="57"/>
        <v/>
      </c>
      <c r="AV133">
        <v>132</v>
      </c>
      <c r="AW133" t="s">
        <v>102</v>
      </c>
    </row>
    <row r="134" spans="1:49" ht="14.4" hidden="1">
      <c r="A134" s="9">
        <v>133</v>
      </c>
      <c r="B134" s="9" t="s">
        <v>103</v>
      </c>
      <c r="C134" s="10">
        <v>9146093241</v>
      </c>
      <c r="D134" s="9" t="s">
        <v>280</v>
      </c>
      <c r="E134" s="9">
        <f>COUNTIF($C$1:C134,C134)</f>
        <v>1</v>
      </c>
      <c r="F134" s="9" t="str">
        <f t="shared" si="47"/>
        <v>91460932411</v>
      </c>
      <c r="G134" s="9">
        <f t="shared" si="55"/>
        <v>1</v>
      </c>
      <c r="H134" s="9">
        <f t="shared" si="48"/>
        <v>0</v>
      </c>
      <c r="I134" s="2">
        <v>9144386604</v>
      </c>
      <c r="J134" s="3">
        <f t="shared" si="49"/>
        <v>1</v>
      </c>
      <c r="K134" s="3">
        <f t="shared" ref="K134:K167" si="58">COUNTIFS(C:C,I134,G:G,1)+COUNTIFS(C:C,I134,H:H,1)</f>
        <v>1</v>
      </c>
      <c r="L134" s="3" t="e">
        <f t="shared" ca="1" si="50"/>
        <v>#NAME?</v>
      </c>
      <c r="M134" s="3" t="e">
        <f t="shared" ca="1" si="51"/>
        <v>#NAME?</v>
      </c>
      <c r="N134">
        <f t="shared" si="52"/>
        <v>0</v>
      </c>
      <c r="P134">
        <f t="shared" si="53"/>
        <v>263</v>
      </c>
      <c r="Q134" t="str">
        <f t="shared" si="56"/>
        <v/>
      </c>
      <c r="R134" t="str">
        <f t="shared" si="56"/>
        <v/>
      </c>
      <c r="S134" t="str">
        <f t="shared" si="56"/>
        <v/>
      </c>
      <c r="T134" t="str">
        <f t="shared" si="56"/>
        <v/>
      </c>
      <c r="U134" t="str">
        <f t="shared" si="56"/>
        <v/>
      </c>
      <c r="V134" t="str">
        <f t="shared" si="56"/>
        <v/>
      </c>
      <c r="Z134" t="str">
        <f t="shared" si="54"/>
        <v>Alan pg</v>
      </c>
      <c r="AA134" t="str">
        <f t="shared" si="57"/>
        <v/>
      </c>
      <c r="AB134" t="str">
        <f t="shared" si="57"/>
        <v/>
      </c>
      <c r="AC134" t="str">
        <f t="shared" si="57"/>
        <v/>
      </c>
      <c r="AD134" t="str">
        <f t="shared" si="57"/>
        <v/>
      </c>
      <c r="AE134" t="str">
        <f t="shared" si="57"/>
        <v/>
      </c>
      <c r="AF134" t="str">
        <f t="shared" si="57"/>
        <v/>
      </c>
      <c r="AV134">
        <v>133</v>
      </c>
      <c r="AW134" t="s">
        <v>103</v>
      </c>
    </row>
    <row r="135" spans="1:49">
      <c r="A135" s="9">
        <v>134</v>
      </c>
      <c r="B135" s="9"/>
      <c r="C135" s="10"/>
      <c r="D135" s="9"/>
      <c r="E135" s="9">
        <f>COUNTIF($C$1:C135,C135)</f>
        <v>0</v>
      </c>
      <c r="F135" s="9" t="str">
        <f t="shared" si="47"/>
        <v>0</v>
      </c>
      <c r="G135" s="9">
        <f t="shared" si="55"/>
        <v>0</v>
      </c>
      <c r="H135" s="9">
        <f t="shared" si="48"/>
        <v>0</v>
      </c>
      <c r="I135" s="4">
        <v>9146203904</v>
      </c>
      <c r="J135" s="5">
        <f t="shared" si="49"/>
        <v>2</v>
      </c>
      <c r="K135" s="5">
        <f t="shared" si="58"/>
        <v>0</v>
      </c>
      <c r="L135" s="5" t="e">
        <f t="shared" ca="1" si="50"/>
        <v>#NAME?</v>
      </c>
      <c r="M135" s="5" t="e">
        <f t="shared" ca="1" si="51"/>
        <v>#NAME?</v>
      </c>
      <c r="N135">
        <f t="shared" si="52"/>
        <v>2</v>
      </c>
      <c r="P135">
        <f t="shared" si="53"/>
        <v>266</v>
      </c>
      <c r="Q135" t="str">
        <f t="shared" si="56"/>
        <v xml:space="preserve"> ,338</v>
      </c>
      <c r="R135" t="str">
        <f t="shared" si="56"/>
        <v/>
      </c>
      <c r="S135" t="str">
        <f t="shared" si="56"/>
        <v/>
      </c>
      <c r="T135" t="str">
        <f t="shared" si="56"/>
        <v/>
      </c>
      <c r="U135" t="str">
        <f t="shared" si="56"/>
        <v/>
      </c>
      <c r="V135" t="str">
        <f t="shared" si="56"/>
        <v/>
      </c>
      <c r="Z135" t="str">
        <f t="shared" si="54"/>
        <v>José tile</v>
      </c>
      <c r="AA135" t="str">
        <f t="shared" si="57"/>
        <v xml:space="preserve"> ,José tile</v>
      </c>
      <c r="AB135" t="str">
        <f t="shared" si="57"/>
        <v/>
      </c>
      <c r="AC135" t="str">
        <f t="shared" si="57"/>
        <v/>
      </c>
      <c r="AD135" t="str">
        <f t="shared" si="57"/>
        <v/>
      </c>
      <c r="AE135" t="str">
        <f t="shared" si="57"/>
        <v/>
      </c>
      <c r="AF135" t="str">
        <f t="shared" si="57"/>
        <v/>
      </c>
      <c r="AV135">
        <v>134</v>
      </c>
    </row>
    <row r="136" spans="1:49">
      <c r="A136" s="9">
        <v>135</v>
      </c>
      <c r="B136" s="9" t="s">
        <v>104</v>
      </c>
      <c r="C136" s="10">
        <v>2038647378</v>
      </c>
      <c r="D136" s="9" t="s">
        <v>280</v>
      </c>
      <c r="E136" s="9">
        <f>COUNTIF($C$1:C136,C136)</f>
        <v>1</v>
      </c>
      <c r="F136" s="9" t="str">
        <f t="shared" si="47"/>
        <v>20386473781</v>
      </c>
      <c r="G136" s="9">
        <f t="shared" si="55"/>
        <v>0</v>
      </c>
      <c r="H136" s="9">
        <f t="shared" si="48"/>
        <v>0</v>
      </c>
      <c r="I136" s="2">
        <v>8455279933</v>
      </c>
      <c r="J136" s="3">
        <f t="shared" si="49"/>
        <v>5</v>
      </c>
      <c r="K136" s="3">
        <f t="shared" si="58"/>
        <v>0</v>
      </c>
      <c r="L136" s="3" t="e">
        <f t="shared" ca="1" si="50"/>
        <v>#NAME?</v>
      </c>
      <c r="M136" s="3" t="e">
        <f t="shared" ca="1" si="51"/>
        <v>#NAME?</v>
      </c>
      <c r="N136">
        <f t="shared" si="52"/>
        <v>5</v>
      </c>
      <c r="P136">
        <f t="shared" si="53"/>
        <v>271</v>
      </c>
      <c r="Q136" t="str">
        <f t="shared" si="56"/>
        <v xml:space="preserve"> ,274</v>
      </c>
      <c r="R136" t="str">
        <f t="shared" si="56"/>
        <v xml:space="preserve"> ,276</v>
      </c>
      <c r="S136" t="str">
        <f t="shared" si="56"/>
        <v xml:space="preserve"> ,309</v>
      </c>
      <c r="T136" t="str">
        <f t="shared" si="56"/>
        <v xml:space="preserve"> ,334</v>
      </c>
      <c r="U136" t="str">
        <f t="shared" si="56"/>
        <v/>
      </c>
      <c r="V136" t="str">
        <f t="shared" si="56"/>
        <v/>
      </c>
      <c r="Z136" t="str">
        <f t="shared" si="54"/>
        <v>Marília / Fábio</v>
      </c>
      <c r="AA136" t="str">
        <f t="shared" si="57"/>
        <v xml:space="preserve"> ,Ana Laura Gregório (Marília)</v>
      </c>
      <c r="AB136" t="str">
        <f t="shared" si="57"/>
        <v xml:space="preserve"> ,Marília /fabio</v>
      </c>
      <c r="AC136" t="str">
        <f t="shared" si="57"/>
        <v xml:space="preserve"> ,Marília/ Fábio</v>
      </c>
      <c r="AD136" t="str">
        <f t="shared" si="57"/>
        <v xml:space="preserve"> ,Cida dona ( Marília )</v>
      </c>
      <c r="AE136" t="str">
        <f t="shared" si="57"/>
        <v/>
      </c>
      <c r="AF136" t="str">
        <f t="shared" si="57"/>
        <v/>
      </c>
      <c r="AV136">
        <v>135</v>
      </c>
      <c r="AW136" t="s">
        <v>104</v>
      </c>
    </row>
    <row r="137" spans="1:49" ht="14.4" hidden="1">
      <c r="A137" s="9">
        <v>136</v>
      </c>
      <c r="B137" s="9" t="s">
        <v>105</v>
      </c>
      <c r="C137" s="10">
        <v>9145654952</v>
      </c>
      <c r="D137" s="9" t="s">
        <v>280</v>
      </c>
      <c r="E137" s="9">
        <f>COUNTIF($C$1:C137,C137)</f>
        <v>1</v>
      </c>
      <c r="F137" s="9" t="str">
        <f t="shared" si="47"/>
        <v>91456549521</v>
      </c>
      <c r="G137" s="9">
        <f t="shared" si="55"/>
        <v>0</v>
      </c>
      <c r="H137" s="9">
        <f t="shared" si="48"/>
        <v>0</v>
      </c>
      <c r="I137" s="4">
        <v>9735172499</v>
      </c>
      <c r="J137" s="5">
        <f t="shared" si="49"/>
        <v>1</v>
      </c>
      <c r="K137" s="5">
        <f t="shared" si="58"/>
        <v>1</v>
      </c>
      <c r="L137" s="5" t="e">
        <f t="shared" ca="1" si="50"/>
        <v>#NAME?</v>
      </c>
      <c r="M137" s="5" t="e">
        <f t="shared" ca="1" si="51"/>
        <v>#NAME?</v>
      </c>
      <c r="N137">
        <f t="shared" si="52"/>
        <v>0</v>
      </c>
      <c r="P137">
        <f t="shared" si="53"/>
        <v>273</v>
      </c>
      <c r="Q137" t="str">
        <f t="shared" si="56"/>
        <v/>
      </c>
      <c r="R137" t="str">
        <f t="shared" si="56"/>
        <v/>
      </c>
      <c r="S137" t="str">
        <f t="shared" si="56"/>
        <v/>
      </c>
      <c r="T137" t="str">
        <f t="shared" si="56"/>
        <v/>
      </c>
      <c r="U137" t="str">
        <f t="shared" si="56"/>
        <v/>
      </c>
      <c r="V137" t="str">
        <f t="shared" si="56"/>
        <v/>
      </c>
      <c r="Z137" t="str">
        <f t="shared" si="54"/>
        <v>BOCAO pg</v>
      </c>
      <c r="AA137" t="str">
        <f t="shared" si="57"/>
        <v/>
      </c>
      <c r="AB137" t="str">
        <f t="shared" si="57"/>
        <v/>
      </c>
      <c r="AC137" t="str">
        <f t="shared" si="57"/>
        <v/>
      </c>
      <c r="AD137" t="str">
        <f t="shared" si="57"/>
        <v/>
      </c>
      <c r="AE137" t="str">
        <f t="shared" si="57"/>
        <v/>
      </c>
      <c r="AF137" t="str">
        <f t="shared" si="57"/>
        <v/>
      </c>
      <c r="AV137">
        <v>136</v>
      </c>
      <c r="AW137" t="s">
        <v>105</v>
      </c>
    </row>
    <row r="138" spans="1:49">
      <c r="A138" s="9">
        <v>137</v>
      </c>
      <c r="B138" s="9" t="s">
        <v>38</v>
      </c>
      <c r="C138" s="10">
        <v>2033607352</v>
      </c>
      <c r="D138" s="9" t="s">
        <v>280</v>
      </c>
      <c r="E138" s="9">
        <f>COUNTIF($C$1:C138,C138)</f>
        <v>3</v>
      </c>
      <c r="F138" s="9" t="str">
        <f t="shared" si="47"/>
        <v>20336073523</v>
      </c>
      <c r="G138" s="9">
        <f t="shared" si="55"/>
        <v>0</v>
      </c>
      <c r="H138" s="9">
        <f t="shared" si="48"/>
        <v>0</v>
      </c>
      <c r="I138" s="2">
        <v>9148446172</v>
      </c>
      <c r="J138" s="3">
        <f t="shared" si="49"/>
        <v>3</v>
      </c>
      <c r="K138" s="3">
        <f t="shared" si="58"/>
        <v>0</v>
      </c>
      <c r="L138" s="3" t="e">
        <f t="shared" ca="1" si="50"/>
        <v>#NAME?</v>
      </c>
      <c r="M138" s="3" t="e">
        <f t="shared" ca="1" si="51"/>
        <v>#NAME?</v>
      </c>
      <c r="N138">
        <f t="shared" si="52"/>
        <v>3</v>
      </c>
      <c r="P138">
        <f t="shared" si="53"/>
        <v>280</v>
      </c>
      <c r="Q138" t="str">
        <f t="shared" si="56"/>
        <v xml:space="preserve"> ,281</v>
      </c>
      <c r="R138" t="str">
        <f t="shared" si="56"/>
        <v xml:space="preserve"> ,459</v>
      </c>
      <c r="S138" t="str">
        <f t="shared" si="56"/>
        <v/>
      </c>
      <c r="T138" t="str">
        <f t="shared" si="56"/>
        <v/>
      </c>
      <c r="U138" t="str">
        <f t="shared" si="56"/>
        <v/>
      </c>
      <c r="V138" t="str">
        <f t="shared" si="56"/>
        <v/>
      </c>
      <c r="Z138" t="str">
        <f t="shared" si="54"/>
        <v>Sônia da Deli (Salvador )</v>
      </c>
      <c r="AA138" t="str">
        <f t="shared" si="57"/>
        <v xml:space="preserve"> ,Luís guevara</v>
      </c>
      <c r="AB138" t="str">
        <f t="shared" si="57"/>
        <v xml:space="preserve"> ,SALVADOR</v>
      </c>
      <c r="AC138" t="str">
        <f t="shared" si="57"/>
        <v/>
      </c>
      <c r="AD138" t="str">
        <f t="shared" si="57"/>
        <v/>
      </c>
      <c r="AE138" t="str">
        <f t="shared" si="57"/>
        <v/>
      </c>
      <c r="AF138" t="str">
        <f t="shared" si="57"/>
        <v/>
      </c>
      <c r="AV138">
        <v>137</v>
      </c>
      <c r="AW138" t="s">
        <v>38</v>
      </c>
    </row>
    <row r="139" spans="1:49">
      <c r="A139" s="9">
        <v>138</v>
      </c>
      <c r="B139" s="9" t="s">
        <v>106</v>
      </c>
      <c r="C139" s="10">
        <v>2038985149</v>
      </c>
      <c r="D139" s="9" t="s">
        <v>280</v>
      </c>
      <c r="E139" s="9">
        <f>COUNTIF($C$1:C139,C139)</f>
        <v>1</v>
      </c>
      <c r="F139" s="9" t="str">
        <f t="shared" si="47"/>
        <v>20389851491</v>
      </c>
      <c r="G139" s="9">
        <f t="shared" si="55"/>
        <v>0</v>
      </c>
      <c r="H139" s="9">
        <f t="shared" si="48"/>
        <v>0</v>
      </c>
      <c r="I139" s="4">
        <v>2038640330</v>
      </c>
      <c r="J139" s="5">
        <f t="shared" si="49"/>
        <v>1</v>
      </c>
      <c r="K139" s="5">
        <f t="shared" si="58"/>
        <v>0</v>
      </c>
      <c r="L139" s="5" t="e">
        <f t="shared" ca="1" si="50"/>
        <v>#NAME?</v>
      </c>
      <c r="M139" s="5" t="e">
        <f t="shared" ca="1" si="51"/>
        <v>#NAME?</v>
      </c>
      <c r="N139">
        <f t="shared" si="52"/>
        <v>1</v>
      </c>
      <c r="P139">
        <f t="shared" si="53"/>
        <v>287</v>
      </c>
      <c r="Q139" t="str">
        <f t="shared" si="56"/>
        <v/>
      </c>
      <c r="R139" t="str">
        <f t="shared" si="56"/>
        <v/>
      </c>
      <c r="S139" t="str">
        <f t="shared" si="56"/>
        <v/>
      </c>
      <c r="T139" t="str">
        <f t="shared" si="56"/>
        <v/>
      </c>
      <c r="U139" t="str">
        <f t="shared" si="56"/>
        <v/>
      </c>
      <c r="V139" t="str">
        <f t="shared" si="56"/>
        <v/>
      </c>
      <c r="Z139" t="str">
        <f t="shared" si="54"/>
        <v>C 2038640330</v>
      </c>
      <c r="AA139" t="str">
        <f t="shared" si="57"/>
        <v/>
      </c>
      <c r="AB139" t="str">
        <f t="shared" si="57"/>
        <v/>
      </c>
      <c r="AC139" t="str">
        <f t="shared" si="57"/>
        <v/>
      </c>
      <c r="AD139" t="str">
        <f t="shared" si="57"/>
        <v/>
      </c>
      <c r="AE139" t="str">
        <f t="shared" si="57"/>
        <v/>
      </c>
      <c r="AF139" t="str">
        <f t="shared" si="57"/>
        <v/>
      </c>
      <c r="AV139">
        <v>138</v>
      </c>
      <c r="AW139" t="s">
        <v>106</v>
      </c>
    </row>
    <row r="140" spans="1:49">
      <c r="A140" s="9">
        <v>139</v>
      </c>
      <c r="B140" s="9" t="s">
        <v>106</v>
      </c>
      <c r="C140" s="10">
        <v>2038985149</v>
      </c>
      <c r="D140" s="9" t="s">
        <v>280</v>
      </c>
      <c r="E140" s="9">
        <f>COUNTIF($C$1:C140,C140)</f>
        <v>2</v>
      </c>
      <c r="F140" s="9" t="str">
        <f t="shared" si="47"/>
        <v>20389851492</v>
      </c>
      <c r="G140" s="9">
        <f t="shared" si="55"/>
        <v>0</v>
      </c>
      <c r="H140" s="9">
        <f t="shared" si="48"/>
        <v>0</v>
      </c>
      <c r="I140" s="2">
        <v>4752065818</v>
      </c>
      <c r="J140" s="3">
        <f t="shared" si="49"/>
        <v>3</v>
      </c>
      <c r="K140" s="3">
        <f t="shared" si="58"/>
        <v>1</v>
      </c>
      <c r="L140" s="3" t="e">
        <f t="shared" ca="1" si="50"/>
        <v>#NAME?</v>
      </c>
      <c r="M140" s="3" t="e">
        <f t="shared" ca="1" si="51"/>
        <v>#NAME?</v>
      </c>
      <c r="N140">
        <f t="shared" si="52"/>
        <v>2</v>
      </c>
      <c r="P140">
        <f t="shared" si="53"/>
        <v>293</v>
      </c>
      <c r="Q140" t="str">
        <f t="shared" si="56"/>
        <v xml:space="preserve"> ,388</v>
      </c>
      <c r="R140" t="str">
        <f t="shared" si="56"/>
        <v xml:space="preserve"> ,405</v>
      </c>
      <c r="S140" t="str">
        <f t="shared" si="56"/>
        <v/>
      </c>
      <c r="T140" t="str">
        <f t="shared" si="56"/>
        <v/>
      </c>
      <c r="U140" t="str">
        <f t="shared" si="56"/>
        <v/>
      </c>
      <c r="V140" t="str">
        <f t="shared" si="56"/>
        <v/>
      </c>
      <c r="Z140" t="str">
        <f t="shared" si="54"/>
        <v>Dudu cat freee</v>
      </c>
      <c r="AA140" t="str">
        <f t="shared" si="57"/>
        <v xml:space="preserve"> ,Dudu cat</v>
      </c>
      <c r="AB140" t="str">
        <f t="shared" si="57"/>
        <v xml:space="preserve"> ,Dudu cat</v>
      </c>
      <c r="AC140" t="str">
        <f t="shared" si="57"/>
        <v/>
      </c>
      <c r="AD140" t="str">
        <f t="shared" si="57"/>
        <v/>
      </c>
      <c r="AE140" t="str">
        <f t="shared" si="57"/>
        <v/>
      </c>
      <c r="AF140" t="str">
        <f t="shared" si="57"/>
        <v/>
      </c>
      <c r="AV140">
        <v>139</v>
      </c>
      <c r="AW140" t="s">
        <v>106</v>
      </c>
    </row>
    <row r="141" spans="1:49">
      <c r="A141" s="9">
        <v>140</v>
      </c>
      <c r="B141" s="9" t="s">
        <v>107</v>
      </c>
      <c r="C141" s="10">
        <v>9146095697</v>
      </c>
      <c r="D141" s="9" t="s">
        <v>280</v>
      </c>
      <c r="E141" s="9">
        <f>COUNTIF($C$1:C141,C141)</f>
        <v>2</v>
      </c>
      <c r="F141" s="9" t="str">
        <f t="shared" si="47"/>
        <v>91460956972</v>
      </c>
      <c r="G141" s="9">
        <f t="shared" si="55"/>
        <v>1</v>
      </c>
      <c r="H141" s="9">
        <f t="shared" si="48"/>
        <v>0</v>
      </c>
      <c r="I141" s="4">
        <v>9145624206</v>
      </c>
      <c r="J141" s="5">
        <f t="shared" si="49"/>
        <v>1</v>
      </c>
      <c r="K141" s="5">
        <f t="shared" si="58"/>
        <v>0</v>
      </c>
      <c r="L141" s="5" t="e">
        <f t="shared" ca="1" si="50"/>
        <v>#NAME?</v>
      </c>
      <c r="M141" s="5" t="e">
        <f t="shared" ca="1" si="51"/>
        <v>#NAME?</v>
      </c>
      <c r="N141">
        <f t="shared" si="52"/>
        <v>1</v>
      </c>
      <c r="P141">
        <f t="shared" si="53"/>
        <v>295</v>
      </c>
      <c r="Q141" t="str">
        <f t="shared" si="56"/>
        <v/>
      </c>
      <c r="R141" t="str">
        <f t="shared" si="56"/>
        <v/>
      </c>
      <c r="S141" t="str">
        <f t="shared" si="56"/>
        <v/>
      </c>
      <c r="T141" t="str">
        <f t="shared" si="56"/>
        <v/>
      </c>
      <c r="U141" t="str">
        <f t="shared" si="56"/>
        <v/>
      </c>
      <c r="V141" t="str">
        <f t="shared" si="56"/>
        <v/>
      </c>
      <c r="Z141" t="str">
        <f t="shared" si="54"/>
        <v>CHICO</v>
      </c>
      <c r="AA141" t="str">
        <f t="shared" si="57"/>
        <v/>
      </c>
      <c r="AB141" t="str">
        <f t="shared" si="57"/>
        <v/>
      </c>
      <c r="AC141" t="str">
        <f t="shared" si="57"/>
        <v/>
      </c>
      <c r="AD141" t="str">
        <f t="shared" si="57"/>
        <v/>
      </c>
      <c r="AE141" t="str">
        <f t="shared" si="57"/>
        <v/>
      </c>
      <c r="AF141" t="str">
        <f t="shared" si="57"/>
        <v/>
      </c>
      <c r="AV141">
        <v>140</v>
      </c>
      <c r="AW141" t="s">
        <v>107</v>
      </c>
    </row>
    <row r="142" spans="1:49">
      <c r="A142" s="9">
        <v>141</v>
      </c>
      <c r="B142" s="9" t="s">
        <v>108</v>
      </c>
      <c r="C142" s="10"/>
      <c r="D142" s="9" t="s">
        <v>281</v>
      </c>
      <c r="E142" s="9">
        <f>COUNTIF($C$1:C142,C142)</f>
        <v>0</v>
      </c>
      <c r="F142" s="9" t="str">
        <f t="shared" si="47"/>
        <v>0</v>
      </c>
      <c r="G142" s="9">
        <f t="shared" si="55"/>
        <v>0</v>
      </c>
      <c r="H142" s="9">
        <f t="shared" si="48"/>
        <v>0</v>
      </c>
      <c r="I142" s="2">
        <v>2035221446</v>
      </c>
      <c r="J142" s="3">
        <f t="shared" si="49"/>
        <v>2</v>
      </c>
      <c r="K142" s="3">
        <f t="shared" si="58"/>
        <v>0</v>
      </c>
      <c r="L142" s="3" t="e">
        <f t="shared" ca="1" si="50"/>
        <v>#NAME?</v>
      </c>
      <c r="M142" s="3" t="e">
        <f t="shared" ca="1" si="51"/>
        <v>#NAME?</v>
      </c>
      <c r="N142">
        <f t="shared" si="52"/>
        <v>2</v>
      </c>
      <c r="P142">
        <f t="shared" si="53"/>
        <v>316</v>
      </c>
      <c r="Q142" t="str">
        <f t="shared" ref="Q142:V151" si="59">IFERROR(" ,"&amp;INDEX($A$2:$A$501,MATCH($I142&amp;Q$1,$F$2:$F$501,0)),"")</f>
        <v xml:space="preserve"> ,485</v>
      </c>
      <c r="R142" t="str">
        <f t="shared" si="59"/>
        <v/>
      </c>
      <c r="S142" t="str">
        <f t="shared" si="59"/>
        <v/>
      </c>
      <c r="T142" t="str">
        <f t="shared" si="59"/>
        <v/>
      </c>
      <c r="U142" t="str">
        <f t="shared" si="59"/>
        <v/>
      </c>
      <c r="V142" t="str">
        <f t="shared" si="59"/>
        <v/>
      </c>
      <c r="Z142" t="str">
        <f t="shared" si="54"/>
        <v>NATALIA PIVA</v>
      </c>
      <c r="AA142" t="str">
        <f t="shared" ref="AA142:AF151" si="60">IFERROR(" ,"&amp;INDEX($B$2:$B$501,MATCH($I142&amp;AA$1,$F$2:$F$501,0)),"")</f>
        <v xml:space="preserve"> ,FABIO PIVA</v>
      </c>
      <c r="AB142" t="str">
        <f t="shared" si="60"/>
        <v/>
      </c>
      <c r="AC142" t="str">
        <f t="shared" si="60"/>
        <v/>
      </c>
      <c r="AD142" t="str">
        <f t="shared" si="60"/>
        <v/>
      </c>
      <c r="AE142" t="str">
        <f t="shared" si="60"/>
        <v/>
      </c>
      <c r="AF142" t="str">
        <f t="shared" si="60"/>
        <v/>
      </c>
      <c r="AV142">
        <v>141</v>
      </c>
      <c r="AW142" t="s">
        <v>108</v>
      </c>
    </row>
    <row r="143" spans="1:49">
      <c r="A143" s="9">
        <v>142</v>
      </c>
      <c r="B143" s="9" t="s">
        <v>109</v>
      </c>
      <c r="C143" s="10">
        <v>9147740936</v>
      </c>
      <c r="D143" s="9" t="s">
        <v>289</v>
      </c>
      <c r="E143" s="9">
        <f>COUNTIF($C$1:C143,C143)</f>
        <v>1</v>
      </c>
      <c r="F143" s="9" t="str">
        <f t="shared" si="47"/>
        <v>91477409361</v>
      </c>
      <c r="G143" s="9">
        <f t="shared" si="55"/>
        <v>1</v>
      </c>
      <c r="H143" s="9">
        <f t="shared" si="48"/>
        <v>0</v>
      </c>
      <c r="I143" s="4">
        <v>9145653559</v>
      </c>
      <c r="J143" s="5">
        <f t="shared" si="49"/>
        <v>1</v>
      </c>
      <c r="K143" s="5">
        <f t="shared" si="58"/>
        <v>0</v>
      </c>
      <c r="L143" s="5" t="e">
        <f t="shared" ca="1" si="50"/>
        <v>#NAME?</v>
      </c>
      <c r="M143" s="5" t="e">
        <f t="shared" ca="1" si="51"/>
        <v>#NAME?</v>
      </c>
      <c r="N143">
        <f t="shared" si="52"/>
        <v>1</v>
      </c>
      <c r="P143">
        <f t="shared" si="53"/>
        <v>317</v>
      </c>
      <c r="Q143" t="str">
        <f t="shared" si="59"/>
        <v/>
      </c>
      <c r="R143" t="str">
        <f t="shared" si="59"/>
        <v/>
      </c>
      <c r="S143" t="str">
        <f t="shared" si="59"/>
        <v/>
      </c>
      <c r="T143" t="str">
        <f t="shared" si="59"/>
        <v/>
      </c>
      <c r="U143" t="str">
        <f t="shared" si="59"/>
        <v/>
      </c>
      <c r="V143" t="str">
        <f t="shared" si="59"/>
        <v/>
      </c>
      <c r="Z143" t="str">
        <f t="shared" si="54"/>
        <v>ROVILSON</v>
      </c>
      <c r="AA143" t="str">
        <f t="shared" si="60"/>
        <v/>
      </c>
      <c r="AB143" t="str">
        <f t="shared" si="60"/>
        <v/>
      </c>
      <c r="AC143" t="str">
        <f t="shared" si="60"/>
        <v/>
      </c>
      <c r="AD143" t="str">
        <f t="shared" si="60"/>
        <v/>
      </c>
      <c r="AE143" t="str">
        <f t="shared" si="60"/>
        <v/>
      </c>
      <c r="AF143" t="str">
        <f t="shared" si="60"/>
        <v/>
      </c>
      <c r="AV143">
        <v>142</v>
      </c>
      <c r="AW143" t="s">
        <v>109</v>
      </c>
    </row>
    <row r="144" spans="1:49">
      <c r="A144" s="9">
        <v>143</v>
      </c>
      <c r="B144" s="9" t="s">
        <v>110</v>
      </c>
      <c r="C144" s="10">
        <v>9144862420</v>
      </c>
      <c r="D144" s="9" t="s">
        <v>280</v>
      </c>
      <c r="E144" s="9">
        <f>COUNTIF($C$1:C144,C144)</f>
        <v>1</v>
      </c>
      <c r="F144" s="9" t="str">
        <f t="shared" si="47"/>
        <v>91448624201</v>
      </c>
      <c r="G144" s="9">
        <f t="shared" si="55"/>
        <v>0</v>
      </c>
      <c r="H144" s="9">
        <f t="shared" si="48"/>
        <v>0</v>
      </c>
      <c r="I144" s="2">
        <v>9145656406</v>
      </c>
      <c r="J144" s="3">
        <f t="shared" si="49"/>
        <v>1</v>
      </c>
      <c r="K144" s="3">
        <f t="shared" si="58"/>
        <v>0</v>
      </c>
      <c r="L144" s="3" t="e">
        <f t="shared" ca="1" si="50"/>
        <v>#NAME?</v>
      </c>
      <c r="M144" s="3" t="e">
        <f t="shared" ca="1" si="51"/>
        <v>#NAME?</v>
      </c>
      <c r="N144">
        <f t="shared" si="52"/>
        <v>1</v>
      </c>
      <c r="P144">
        <f t="shared" si="53"/>
        <v>321</v>
      </c>
      <c r="Q144" t="str">
        <f t="shared" si="59"/>
        <v/>
      </c>
      <c r="R144" t="str">
        <f t="shared" si="59"/>
        <v/>
      </c>
      <c r="S144" t="str">
        <f t="shared" si="59"/>
        <v/>
      </c>
      <c r="T144" t="str">
        <f t="shared" si="59"/>
        <v/>
      </c>
      <c r="U144" t="str">
        <f t="shared" si="59"/>
        <v/>
      </c>
      <c r="V144" t="str">
        <f t="shared" si="59"/>
        <v/>
      </c>
      <c r="Z144" t="str">
        <f t="shared" si="54"/>
        <v>Ricardo de Souza</v>
      </c>
      <c r="AA144" t="str">
        <f t="shared" si="60"/>
        <v/>
      </c>
      <c r="AB144" t="str">
        <f t="shared" si="60"/>
        <v/>
      </c>
      <c r="AC144" t="str">
        <f t="shared" si="60"/>
        <v/>
      </c>
      <c r="AD144" t="str">
        <f t="shared" si="60"/>
        <v/>
      </c>
      <c r="AE144" t="str">
        <f t="shared" si="60"/>
        <v/>
      </c>
      <c r="AF144" t="str">
        <f t="shared" si="60"/>
        <v/>
      </c>
      <c r="AV144">
        <v>143</v>
      </c>
      <c r="AW144" t="s">
        <v>110</v>
      </c>
    </row>
    <row r="145" spans="1:49">
      <c r="A145" s="9">
        <v>144</v>
      </c>
      <c r="B145" s="9" t="s">
        <v>89</v>
      </c>
      <c r="C145" s="10">
        <v>2035456330</v>
      </c>
      <c r="D145" s="9" t="s">
        <v>280</v>
      </c>
      <c r="E145" s="9">
        <f>COUNTIF($C$1:C145,C145)</f>
        <v>4</v>
      </c>
      <c r="F145" s="9" t="str">
        <f t="shared" si="47"/>
        <v>20354563304</v>
      </c>
      <c r="G145" s="9">
        <f t="shared" si="55"/>
        <v>0</v>
      </c>
      <c r="H145" s="9">
        <f t="shared" si="48"/>
        <v>0</v>
      </c>
      <c r="I145" s="4">
        <v>5042666286</v>
      </c>
      <c r="J145" s="5">
        <f t="shared" si="49"/>
        <v>1</v>
      </c>
      <c r="K145" s="5">
        <f t="shared" si="58"/>
        <v>0</v>
      </c>
      <c r="L145" s="5" t="e">
        <f t="shared" ca="1" si="50"/>
        <v>#NAME?</v>
      </c>
      <c r="M145" s="5" t="e">
        <f t="shared" ca="1" si="51"/>
        <v>#NAME?</v>
      </c>
      <c r="N145">
        <f t="shared" si="52"/>
        <v>1</v>
      </c>
      <c r="P145">
        <f t="shared" si="53"/>
        <v>327</v>
      </c>
      <c r="Q145" t="str">
        <f t="shared" si="59"/>
        <v/>
      </c>
      <c r="R145" t="str">
        <f t="shared" si="59"/>
        <v/>
      </c>
      <c r="S145" t="str">
        <f t="shared" si="59"/>
        <v/>
      </c>
      <c r="T145" t="str">
        <f t="shared" si="59"/>
        <v/>
      </c>
      <c r="U145" t="str">
        <f t="shared" si="59"/>
        <v/>
      </c>
      <c r="V145" t="str">
        <f t="shared" si="59"/>
        <v/>
      </c>
      <c r="Z145" t="str">
        <f t="shared" si="54"/>
        <v>TATI CUMPA</v>
      </c>
      <c r="AA145" t="str">
        <f t="shared" si="60"/>
        <v/>
      </c>
      <c r="AB145" t="str">
        <f t="shared" si="60"/>
        <v/>
      </c>
      <c r="AC145" t="str">
        <f t="shared" si="60"/>
        <v/>
      </c>
      <c r="AD145" t="str">
        <f t="shared" si="60"/>
        <v/>
      </c>
      <c r="AE145" t="str">
        <f t="shared" si="60"/>
        <v/>
      </c>
      <c r="AF145" t="str">
        <f t="shared" si="60"/>
        <v/>
      </c>
      <c r="AV145">
        <v>144</v>
      </c>
      <c r="AW145" t="s">
        <v>89</v>
      </c>
    </row>
    <row r="146" spans="1:49" ht="14.4" hidden="1">
      <c r="A146" s="9">
        <v>145</v>
      </c>
      <c r="B146" s="9" t="s">
        <v>111</v>
      </c>
      <c r="C146" s="10">
        <v>4752368737</v>
      </c>
      <c r="D146" s="9" t="s">
        <v>280</v>
      </c>
      <c r="E146" s="9">
        <f>COUNTIF($C$1:C146,C146)</f>
        <v>2</v>
      </c>
      <c r="F146" s="9" t="str">
        <f t="shared" si="47"/>
        <v>47523687372</v>
      </c>
      <c r="G146" s="9">
        <f t="shared" si="55"/>
        <v>0</v>
      </c>
      <c r="H146" s="9">
        <f t="shared" si="48"/>
        <v>1</v>
      </c>
      <c r="I146" s="2">
        <v>9148799779</v>
      </c>
      <c r="J146" s="3">
        <f t="shared" si="49"/>
        <v>3</v>
      </c>
      <c r="K146" s="3">
        <f t="shared" si="58"/>
        <v>3</v>
      </c>
      <c r="L146" s="3" t="e">
        <f t="shared" ca="1" si="50"/>
        <v>#NAME?</v>
      </c>
      <c r="M146" s="3" t="e">
        <f t="shared" ca="1" si="51"/>
        <v>#NAME?</v>
      </c>
      <c r="N146">
        <f t="shared" si="52"/>
        <v>0</v>
      </c>
      <c r="P146">
        <f t="shared" si="53"/>
        <v>328</v>
      </c>
      <c r="Q146" t="str">
        <f t="shared" si="59"/>
        <v xml:space="preserve"> ,351</v>
      </c>
      <c r="R146" t="str">
        <f t="shared" si="59"/>
        <v xml:space="preserve"> ,456</v>
      </c>
      <c r="S146" t="str">
        <f t="shared" si="59"/>
        <v/>
      </c>
      <c r="T146" t="str">
        <f t="shared" si="59"/>
        <v/>
      </c>
      <c r="U146" t="str">
        <f t="shared" si="59"/>
        <v/>
      </c>
      <c r="V146" t="str">
        <f t="shared" si="59"/>
        <v/>
      </c>
      <c r="Z146" t="str">
        <f t="shared" si="54"/>
        <v>João / filho free</v>
      </c>
      <c r="AA146" t="str">
        <f t="shared" si="60"/>
        <v xml:space="preserve"> ,João/folho pg</v>
      </c>
      <c r="AB146" t="str">
        <f t="shared" si="60"/>
        <v xml:space="preserve"> ,João /filho pg</v>
      </c>
      <c r="AC146" t="str">
        <f t="shared" si="60"/>
        <v/>
      </c>
      <c r="AD146" t="str">
        <f t="shared" si="60"/>
        <v/>
      </c>
      <c r="AE146" t="str">
        <f t="shared" si="60"/>
        <v/>
      </c>
      <c r="AF146" t="str">
        <f t="shared" si="60"/>
        <v/>
      </c>
      <c r="AV146">
        <v>145</v>
      </c>
      <c r="AW146" t="s">
        <v>111</v>
      </c>
    </row>
    <row r="147" spans="1:49" ht="14.4" hidden="1">
      <c r="A147" s="9">
        <v>146</v>
      </c>
      <c r="B147" s="9" t="s">
        <v>112</v>
      </c>
      <c r="C147" s="10">
        <v>9144901203</v>
      </c>
      <c r="D147" s="9" t="s">
        <v>280</v>
      </c>
      <c r="E147" s="9">
        <f>COUNTIF($C$1:C147,C147)</f>
        <v>1</v>
      </c>
      <c r="F147" s="9" t="str">
        <f t="shared" si="47"/>
        <v>91449012031</v>
      </c>
      <c r="G147" s="9">
        <f t="shared" si="55"/>
        <v>1</v>
      </c>
      <c r="H147" s="9">
        <f t="shared" si="48"/>
        <v>0</v>
      </c>
      <c r="I147" s="4">
        <v>2035456583</v>
      </c>
      <c r="J147" s="5">
        <f t="shared" si="49"/>
        <v>1</v>
      </c>
      <c r="K147" s="5">
        <f t="shared" si="58"/>
        <v>1</v>
      </c>
      <c r="L147" s="5" t="e">
        <f t="shared" ca="1" si="50"/>
        <v>#NAME?</v>
      </c>
      <c r="M147" s="5" t="e">
        <f t="shared" ca="1" si="51"/>
        <v>#NAME?</v>
      </c>
      <c r="N147">
        <f t="shared" si="52"/>
        <v>0</v>
      </c>
      <c r="P147">
        <f t="shared" si="53"/>
        <v>330</v>
      </c>
      <c r="Q147" t="str">
        <f t="shared" si="59"/>
        <v/>
      </c>
      <c r="R147" t="str">
        <f t="shared" si="59"/>
        <v/>
      </c>
      <c r="S147" t="str">
        <f t="shared" si="59"/>
        <v/>
      </c>
      <c r="T147" t="str">
        <f t="shared" si="59"/>
        <v/>
      </c>
      <c r="U147" t="str">
        <f t="shared" si="59"/>
        <v/>
      </c>
      <c r="V147" t="str">
        <f t="shared" si="59"/>
        <v/>
      </c>
      <c r="Z147" t="str">
        <f t="shared" si="54"/>
        <v>Junior /Rodrigao pg</v>
      </c>
      <c r="AA147" t="str">
        <f t="shared" si="60"/>
        <v/>
      </c>
      <c r="AB147" t="str">
        <f t="shared" si="60"/>
        <v/>
      </c>
      <c r="AC147" t="str">
        <f t="shared" si="60"/>
        <v/>
      </c>
      <c r="AD147" t="str">
        <f t="shared" si="60"/>
        <v/>
      </c>
      <c r="AE147" t="str">
        <f t="shared" si="60"/>
        <v/>
      </c>
      <c r="AF147" t="str">
        <f t="shared" si="60"/>
        <v/>
      </c>
      <c r="AV147">
        <v>146</v>
      </c>
      <c r="AW147" t="s">
        <v>112</v>
      </c>
    </row>
    <row r="148" spans="1:49" ht="14.4">
      <c r="A148" s="9">
        <v>147</v>
      </c>
      <c r="B148" s="9" t="s">
        <v>58</v>
      </c>
      <c r="C148" s="10">
        <v>9144175819</v>
      </c>
      <c r="D148" s="9" t="s">
        <v>280</v>
      </c>
      <c r="E148" s="9">
        <f>COUNTIF($C$1:C148,C148)</f>
        <v>3</v>
      </c>
      <c r="F148" s="9" t="str">
        <f t="shared" si="47"/>
        <v>91441758193</v>
      </c>
      <c r="G148" s="9">
        <f t="shared" si="55"/>
        <v>0</v>
      </c>
      <c r="H148" s="9">
        <f t="shared" si="48"/>
        <v>0</v>
      </c>
      <c r="I148" s="2">
        <v>2039812008</v>
      </c>
      <c r="J148" s="3">
        <f t="shared" si="49"/>
        <v>1</v>
      </c>
      <c r="K148" s="3">
        <f t="shared" si="58"/>
        <v>0</v>
      </c>
      <c r="L148" s="3" t="e">
        <f t="shared" ca="1" si="50"/>
        <v>#NAME?</v>
      </c>
      <c r="M148" s="6" t="e">
        <f t="shared" ca="1" si="51"/>
        <v>#NAME?</v>
      </c>
      <c r="N148">
        <f t="shared" si="52"/>
        <v>1</v>
      </c>
      <c r="P148">
        <f t="shared" si="53"/>
        <v>332</v>
      </c>
      <c r="Q148" t="str">
        <f t="shared" si="59"/>
        <v/>
      </c>
      <c r="R148" t="str">
        <f t="shared" si="59"/>
        <v/>
      </c>
      <c r="S148" t="str">
        <f t="shared" si="59"/>
        <v/>
      </c>
      <c r="T148" t="str">
        <f t="shared" si="59"/>
        <v/>
      </c>
      <c r="U148" t="str">
        <f t="shared" si="59"/>
        <v/>
      </c>
      <c r="V148" t="str">
        <f t="shared" si="59"/>
        <v/>
      </c>
      <c r="Z148" t="str">
        <f t="shared" si="54"/>
        <v>Ataide Junior</v>
      </c>
      <c r="AA148" t="str">
        <f t="shared" si="60"/>
        <v/>
      </c>
      <c r="AB148" t="str">
        <f t="shared" si="60"/>
        <v/>
      </c>
      <c r="AC148" t="str">
        <f t="shared" si="60"/>
        <v/>
      </c>
      <c r="AD148" t="str">
        <f t="shared" si="60"/>
        <v/>
      </c>
      <c r="AE148" t="str">
        <f t="shared" si="60"/>
        <v/>
      </c>
      <c r="AF148" t="str">
        <f t="shared" si="60"/>
        <v/>
      </c>
      <c r="AV148">
        <v>147</v>
      </c>
      <c r="AW148" t="s">
        <v>58</v>
      </c>
    </row>
    <row r="149" spans="1:49">
      <c r="A149" s="9">
        <v>148</v>
      </c>
      <c r="B149" s="9" t="s">
        <v>113</v>
      </c>
      <c r="C149" s="10">
        <v>9144381725</v>
      </c>
      <c r="D149" s="9" t="s">
        <v>280</v>
      </c>
      <c r="E149" s="9">
        <f>COUNTIF($C$1:C149,C149)</f>
        <v>1</v>
      </c>
      <c r="F149" s="9" t="str">
        <f t="shared" si="47"/>
        <v>91443817251</v>
      </c>
      <c r="G149" s="9">
        <f t="shared" si="55"/>
        <v>0</v>
      </c>
      <c r="H149" s="9">
        <f t="shared" si="48"/>
        <v>0</v>
      </c>
      <c r="I149" s="4">
        <v>2035450805</v>
      </c>
      <c r="J149" s="5">
        <f t="shared" si="49"/>
        <v>2</v>
      </c>
      <c r="K149" s="5">
        <f t="shared" si="58"/>
        <v>0</v>
      </c>
      <c r="L149" s="5" t="e">
        <f t="shared" ca="1" si="50"/>
        <v>#NAME?</v>
      </c>
      <c r="M149" s="5" t="e">
        <f t="shared" ca="1" si="51"/>
        <v>#NAME?</v>
      </c>
      <c r="N149">
        <f t="shared" si="52"/>
        <v>2</v>
      </c>
      <c r="P149">
        <f t="shared" si="53"/>
        <v>333</v>
      </c>
      <c r="Q149" t="str">
        <f t="shared" si="59"/>
        <v xml:space="preserve"> ,477</v>
      </c>
      <c r="R149" t="str">
        <f t="shared" si="59"/>
        <v/>
      </c>
      <c r="S149" t="str">
        <f t="shared" si="59"/>
        <v/>
      </c>
      <c r="T149" t="str">
        <f t="shared" si="59"/>
        <v/>
      </c>
      <c r="U149" t="str">
        <f t="shared" si="59"/>
        <v/>
      </c>
      <c r="V149" t="str">
        <f t="shared" si="59"/>
        <v/>
      </c>
      <c r="Z149" t="str">
        <f t="shared" si="54"/>
        <v>DEMI</v>
      </c>
      <c r="AA149" t="str">
        <f t="shared" si="60"/>
        <v xml:space="preserve"> ,DEMI</v>
      </c>
      <c r="AB149" t="str">
        <f t="shared" si="60"/>
        <v/>
      </c>
      <c r="AC149" t="str">
        <f t="shared" si="60"/>
        <v/>
      </c>
      <c r="AD149" t="str">
        <f t="shared" si="60"/>
        <v/>
      </c>
      <c r="AE149" t="str">
        <f t="shared" si="60"/>
        <v/>
      </c>
      <c r="AF149" t="str">
        <f t="shared" si="60"/>
        <v/>
      </c>
      <c r="AV149">
        <v>148</v>
      </c>
      <c r="AW149" t="s">
        <v>113</v>
      </c>
    </row>
    <row r="150" spans="1:49">
      <c r="A150" s="9">
        <v>149</v>
      </c>
      <c r="B150" s="9" t="s">
        <v>114</v>
      </c>
      <c r="C150" s="10">
        <v>9148069703</v>
      </c>
      <c r="D150" s="9" t="s">
        <v>280</v>
      </c>
      <c r="E150" s="9">
        <f>COUNTIF($C$1:C150,C150)</f>
        <v>1</v>
      </c>
      <c r="F150" s="9" t="str">
        <f t="shared" si="47"/>
        <v>91480697031</v>
      </c>
      <c r="G150" s="9">
        <f t="shared" si="55"/>
        <v>0</v>
      </c>
      <c r="H150" s="9">
        <f t="shared" si="48"/>
        <v>0</v>
      </c>
      <c r="I150" s="2">
        <v>4752390719</v>
      </c>
      <c r="J150" s="3">
        <f t="shared" si="49"/>
        <v>1</v>
      </c>
      <c r="K150" s="3">
        <f t="shared" si="58"/>
        <v>0</v>
      </c>
      <c r="L150" s="3" t="e">
        <f t="shared" ca="1" si="50"/>
        <v>#NAME?</v>
      </c>
      <c r="M150" s="3" t="e">
        <f t="shared" ca="1" si="51"/>
        <v>#NAME?</v>
      </c>
      <c r="N150">
        <f t="shared" si="52"/>
        <v>1</v>
      </c>
      <c r="P150">
        <f t="shared" si="53"/>
        <v>345</v>
      </c>
      <c r="Q150" t="str">
        <f t="shared" si="59"/>
        <v/>
      </c>
      <c r="R150" t="str">
        <f t="shared" si="59"/>
        <v/>
      </c>
      <c r="S150" t="str">
        <f t="shared" si="59"/>
        <v/>
      </c>
      <c r="T150" t="str">
        <f t="shared" si="59"/>
        <v/>
      </c>
      <c r="U150" t="str">
        <f t="shared" si="59"/>
        <v/>
      </c>
      <c r="V150" t="str">
        <f t="shared" si="59"/>
        <v/>
      </c>
      <c r="Z150" t="str">
        <f t="shared" si="54"/>
        <v>EDERALDO</v>
      </c>
      <c r="AA150" t="str">
        <f t="shared" si="60"/>
        <v/>
      </c>
      <c r="AB150" t="str">
        <f t="shared" si="60"/>
        <v/>
      </c>
      <c r="AC150" t="str">
        <f t="shared" si="60"/>
        <v/>
      </c>
      <c r="AD150" t="str">
        <f t="shared" si="60"/>
        <v/>
      </c>
      <c r="AE150" t="str">
        <f t="shared" si="60"/>
        <v/>
      </c>
      <c r="AF150" t="str">
        <f t="shared" si="60"/>
        <v/>
      </c>
      <c r="AV150">
        <v>149</v>
      </c>
      <c r="AW150" t="s">
        <v>114</v>
      </c>
    </row>
    <row r="151" spans="1:49">
      <c r="A151" s="9">
        <v>150</v>
      </c>
      <c r="B151" s="9" t="s">
        <v>33</v>
      </c>
      <c r="C151" s="10"/>
      <c r="D151" s="9"/>
      <c r="E151" s="9">
        <f>COUNTIF($C$1:C151,C151)</f>
        <v>0</v>
      </c>
      <c r="F151" s="9" t="str">
        <f t="shared" si="47"/>
        <v>0</v>
      </c>
      <c r="G151" s="9">
        <f t="shared" si="55"/>
        <v>0</v>
      </c>
      <c r="H151" s="9">
        <f t="shared" si="48"/>
        <v>0</v>
      </c>
      <c r="I151" s="4">
        <v>9143544961</v>
      </c>
      <c r="J151" s="5">
        <f t="shared" si="49"/>
        <v>1</v>
      </c>
      <c r="K151" s="5">
        <f t="shared" si="58"/>
        <v>0</v>
      </c>
      <c r="L151" s="5" t="e">
        <f t="shared" ca="1" si="50"/>
        <v>#NAME?</v>
      </c>
      <c r="M151" s="5" t="e">
        <f t="shared" ca="1" si="51"/>
        <v>#NAME?</v>
      </c>
      <c r="N151">
        <f t="shared" si="52"/>
        <v>1</v>
      </c>
      <c r="P151">
        <f t="shared" si="53"/>
        <v>348</v>
      </c>
      <c r="Q151" t="str">
        <f t="shared" si="59"/>
        <v/>
      </c>
      <c r="R151" t="str">
        <f t="shared" si="59"/>
        <v/>
      </c>
      <c r="S151" t="str">
        <f t="shared" si="59"/>
        <v/>
      </c>
      <c r="T151" t="str">
        <f t="shared" si="59"/>
        <v/>
      </c>
      <c r="U151" t="str">
        <f t="shared" si="59"/>
        <v/>
      </c>
      <c r="V151" t="str">
        <f t="shared" si="59"/>
        <v/>
      </c>
      <c r="Z151" t="str">
        <f t="shared" si="54"/>
        <v>João da Deli</v>
      </c>
      <c r="AA151" t="str">
        <f t="shared" si="60"/>
        <v/>
      </c>
      <c r="AB151" t="str">
        <f t="shared" si="60"/>
        <v/>
      </c>
      <c r="AC151" t="str">
        <f t="shared" si="60"/>
        <v/>
      </c>
      <c r="AD151" t="str">
        <f t="shared" si="60"/>
        <v/>
      </c>
      <c r="AE151" t="str">
        <f t="shared" si="60"/>
        <v/>
      </c>
      <c r="AF151" t="str">
        <f t="shared" si="60"/>
        <v/>
      </c>
      <c r="AV151">
        <v>150</v>
      </c>
      <c r="AW151" t="s">
        <v>33</v>
      </c>
    </row>
    <row r="152" spans="1:49">
      <c r="A152" s="9">
        <v>151</v>
      </c>
      <c r="B152" s="9" t="s">
        <v>115</v>
      </c>
      <c r="C152" s="10">
        <v>2039524111</v>
      </c>
      <c r="D152" s="9" t="s">
        <v>280</v>
      </c>
      <c r="E152" s="9">
        <f>COUNTIF($C$1:C152,C152)</f>
        <v>1</v>
      </c>
      <c r="F152" s="9" t="str">
        <f t="shared" si="47"/>
        <v>20395241111</v>
      </c>
      <c r="G152" s="9">
        <f t="shared" si="55"/>
        <v>0</v>
      </c>
      <c r="H152" s="9">
        <f t="shared" si="48"/>
        <v>0</v>
      </c>
      <c r="I152" s="2">
        <v>9542976570</v>
      </c>
      <c r="J152" s="3">
        <f t="shared" si="49"/>
        <v>1</v>
      </c>
      <c r="K152" s="3">
        <f t="shared" si="58"/>
        <v>0</v>
      </c>
      <c r="L152" s="3" t="e">
        <f t="shared" ca="1" si="50"/>
        <v>#NAME?</v>
      </c>
      <c r="M152" s="3" t="e">
        <f t="shared" ca="1" si="51"/>
        <v>#NAME?</v>
      </c>
      <c r="N152">
        <f t="shared" si="52"/>
        <v>1</v>
      </c>
      <c r="P152">
        <f t="shared" si="53"/>
        <v>357</v>
      </c>
      <c r="Q152" t="str">
        <f t="shared" ref="Q152:V161" si="61">IFERROR(" ,"&amp;INDEX($A$2:$A$501,MATCH($I152&amp;Q$1,$F$2:$F$501,0)),"")</f>
        <v/>
      </c>
      <c r="R152" t="str">
        <f t="shared" si="61"/>
        <v/>
      </c>
      <c r="S152" t="str">
        <f t="shared" si="61"/>
        <v/>
      </c>
      <c r="T152" t="str">
        <f t="shared" si="61"/>
        <v/>
      </c>
      <c r="U152" t="str">
        <f t="shared" si="61"/>
        <v/>
      </c>
      <c r="V152" t="str">
        <f t="shared" si="61"/>
        <v/>
      </c>
      <c r="Z152" t="str">
        <f t="shared" si="54"/>
        <v>Berg</v>
      </c>
      <c r="AA152" t="str">
        <f t="shared" ref="AA152:AF161" si="62">IFERROR(" ,"&amp;INDEX($B$2:$B$501,MATCH($I152&amp;AA$1,$F$2:$F$501,0)),"")</f>
        <v/>
      </c>
      <c r="AB152" t="str">
        <f t="shared" si="62"/>
        <v/>
      </c>
      <c r="AC152" t="str">
        <f t="shared" si="62"/>
        <v/>
      </c>
      <c r="AD152" t="str">
        <f t="shared" si="62"/>
        <v/>
      </c>
      <c r="AE152" t="str">
        <f t="shared" si="62"/>
        <v/>
      </c>
      <c r="AF152" t="str">
        <f t="shared" si="62"/>
        <v/>
      </c>
      <c r="AV152">
        <v>151</v>
      </c>
      <c r="AW152" t="s">
        <v>115</v>
      </c>
    </row>
    <row r="153" spans="1:49">
      <c r="A153" s="9">
        <v>152</v>
      </c>
      <c r="B153" s="9" t="s">
        <v>116</v>
      </c>
      <c r="C153" s="10">
        <v>2039804388</v>
      </c>
      <c r="D153" s="9" t="s">
        <v>280</v>
      </c>
      <c r="E153" s="9">
        <f>COUNTIF($C$1:C153,C153)</f>
        <v>1</v>
      </c>
      <c r="F153" s="9" t="str">
        <f t="shared" si="47"/>
        <v>20398043881</v>
      </c>
      <c r="G153" s="9">
        <f t="shared" si="55"/>
        <v>1</v>
      </c>
      <c r="H153" s="9">
        <f t="shared" si="48"/>
        <v>0</v>
      </c>
      <c r="I153" s="4">
        <v>9148043987</v>
      </c>
      <c r="J153" s="5">
        <f t="shared" si="49"/>
        <v>3</v>
      </c>
      <c r="K153" s="5">
        <f t="shared" si="58"/>
        <v>0</v>
      </c>
      <c r="L153" s="5" t="e">
        <f t="shared" ca="1" si="50"/>
        <v>#NAME?</v>
      </c>
      <c r="M153" s="5" t="e">
        <f t="shared" ca="1" si="51"/>
        <v>#NAME?</v>
      </c>
      <c r="N153">
        <f t="shared" si="52"/>
        <v>3</v>
      </c>
      <c r="P153">
        <f t="shared" si="53"/>
        <v>370</v>
      </c>
      <c r="Q153" t="str">
        <f t="shared" si="61"/>
        <v xml:space="preserve"> ,480</v>
      </c>
      <c r="R153" t="str">
        <f t="shared" si="61"/>
        <v xml:space="preserve"> ,486</v>
      </c>
      <c r="S153" t="str">
        <f t="shared" si="61"/>
        <v/>
      </c>
      <c r="T153" t="str">
        <f t="shared" si="61"/>
        <v/>
      </c>
      <c r="U153" t="str">
        <f t="shared" si="61"/>
        <v/>
      </c>
      <c r="V153" t="str">
        <f t="shared" si="61"/>
        <v/>
      </c>
      <c r="Z153" t="str">
        <f t="shared" si="54"/>
        <v>WEC</v>
      </c>
      <c r="AA153" t="str">
        <f t="shared" si="62"/>
        <v xml:space="preserve"> ,WEC</v>
      </c>
      <c r="AB153" t="str">
        <f t="shared" si="62"/>
        <v xml:space="preserve"> ,We</v>
      </c>
      <c r="AC153" t="str">
        <f t="shared" si="62"/>
        <v/>
      </c>
      <c r="AD153" t="str">
        <f t="shared" si="62"/>
        <v/>
      </c>
      <c r="AE153" t="str">
        <f t="shared" si="62"/>
        <v/>
      </c>
      <c r="AF153" t="str">
        <f t="shared" si="62"/>
        <v/>
      </c>
      <c r="AV153">
        <v>152</v>
      </c>
      <c r="AW153" t="s">
        <v>116</v>
      </c>
    </row>
    <row r="154" spans="1:49">
      <c r="A154" s="9">
        <v>153</v>
      </c>
      <c r="B154" s="9" t="s">
        <v>117</v>
      </c>
      <c r="C154" s="10">
        <v>2035591129</v>
      </c>
      <c r="D154" s="9" t="s">
        <v>280</v>
      </c>
      <c r="E154" s="9">
        <f>COUNTIF($C$1:C154,C154)</f>
        <v>1</v>
      </c>
      <c r="F154" s="9" t="str">
        <f t="shared" si="47"/>
        <v>20355911291</v>
      </c>
      <c r="G154" s="9">
        <f t="shared" si="55"/>
        <v>1</v>
      </c>
      <c r="H154" s="9">
        <f t="shared" si="48"/>
        <v>0</v>
      </c>
      <c r="I154" s="2">
        <v>4752337695</v>
      </c>
      <c r="J154" s="3">
        <f t="shared" si="49"/>
        <v>2</v>
      </c>
      <c r="K154" s="3">
        <f t="shared" si="58"/>
        <v>0</v>
      </c>
      <c r="L154" s="3" t="e">
        <f t="shared" ca="1" si="50"/>
        <v>#NAME?</v>
      </c>
      <c r="M154" s="3" t="e">
        <f t="shared" ca="1" si="51"/>
        <v>#NAME?</v>
      </c>
      <c r="N154">
        <f t="shared" si="52"/>
        <v>2</v>
      </c>
      <c r="P154">
        <f t="shared" si="53"/>
        <v>380</v>
      </c>
      <c r="Q154" t="str">
        <f t="shared" si="61"/>
        <v xml:space="preserve"> ,390</v>
      </c>
      <c r="R154" t="str">
        <f t="shared" si="61"/>
        <v/>
      </c>
      <c r="S154" t="str">
        <f t="shared" si="61"/>
        <v/>
      </c>
      <c r="T154" t="str">
        <f t="shared" si="61"/>
        <v/>
      </c>
      <c r="U154" t="str">
        <f t="shared" si="61"/>
        <v/>
      </c>
      <c r="V154" t="str">
        <f t="shared" si="61"/>
        <v/>
      </c>
      <c r="Z154" t="str">
        <f t="shared" si="54"/>
        <v>GV</v>
      </c>
      <c r="AA154" t="str">
        <f t="shared" si="62"/>
        <v xml:space="preserve"> ,GV Gabriel</v>
      </c>
      <c r="AB154" t="str">
        <f t="shared" si="62"/>
        <v/>
      </c>
      <c r="AC154" t="str">
        <f t="shared" si="62"/>
        <v/>
      </c>
      <c r="AD154" t="str">
        <f t="shared" si="62"/>
        <v/>
      </c>
      <c r="AE154" t="str">
        <f t="shared" si="62"/>
        <v/>
      </c>
      <c r="AF154" t="str">
        <f t="shared" si="62"/>
        <v/>
      </c>
      <c r="AV154">
        <v>153</v>
      </c>
      <c r="AW154" t="s">
        <v>117</v>
      </c>
    </row>
    <row r="155" spans="1:49">
      <c r="A155" s="9">
        <v>154</v>
      </c>
      <c r="B155" s="9" t="s">
        <v>118</v>
      </c>
      <c r="C155" s="10">
        <v>9143569767</v>
      </c>
      <c r="D155" s="9" t="s">
        <v>280</v>
      </c>
      <c r="E155" s="9">
        <f>COUNTIF($C$1:C155,C155)</f>
        <v>1</v>
      </c>
      <c r="F155" s="9" t="str">
        <f t="shared" si="47"/>
        <v>91435697671</v>
      </c>
      <c r="G155" s="9">
        <f t="shared" si="55"/>
        <v>0</v>
      </c>
      <c r="H155" s="9">
        <f t="shared" si="48"/>
        <v>0</v>
      </c>
      <c r="I155" s="4">
        <v>9144909467</v>
      </c>
      <c r="J155" s="5">
        <f t="shared" si="49"/>
        <v>1</v>
      </c>
      <c r="K155" s="5">
        <f t="shared" si="58"/>
        <v>0</v>
      </c>
      <c r="L155" s="5" t="e">
        <f t="shared" ca="1" si="50"/>
        <v>#NAME?</v>
      </c>
      <c r="M155" s="5" t="e">
        <f t="shared" ca="1" si="51"/>
        <v>#NAME?</v>
      </c>
      <c r="N155">
        <f t="shared" si="52"/>
        <v>1</v>
      </c>
      <c r="P155">
        <f t="shared" si="53"/>
        <v>384</v>
      </c>
      <c r="Q155" t="str">
        <f t="shared" si="61"/>
        <v/>
      </c>
      <c r="R155" t="str">
        <f t="shared" si="61"/>
        <v/>
      </c>
      <c r="S155" t="str">
        <f t="shared" si="61"/>
        <v/>
      </c>
      <c r="T155" t="str">
        <f t="shared" si="61"/>
        <v/>
      </c>
      <c r="U155" t="str">
        <f t="shared" si="61"/>
        <v/>
      </c>
      <c r="V155" t="str">
        <f t="shared" si="61"/>
        <v/>
      </c>
      <c r="Z155" t="str">
        <f t="shared" si="54"/>
        <v>Tuca tucano</v>
      </c>
      <c r="AA155" t="str">
        <f t="shared" si="62"/>
        <v/>
      </c>
      <c r="AB155" t="str">
        <f t="shared" si="62"/>
        <v/>
      </c>
      <c r="AC155" t="str">
        <f t="shared" si="62"/>
        <v/>
      </c>
      <c r="AD155" t="str">
        <f t="shared" si="62"/>
        <v/>
      </c>
      <c r="AE155" t="str">
        <f t="shared" si="62"/>
        <v/>
      </c>
      <c r="AF155" t="str">
        <f t="shared" si="62"/>
        <v/>
      </c>
      <c r="AV155">
        <v>154</v>
      </c>
      <c r="AW155" t="s">
        <v>118</v>
      </c>
    </row>
    <row r="156" spans="1:49">
      <c r="A156" s="9">
        <v>155</v>
      </c>
      <c r="B156" s="9" t="s">
        <v>119</v>
      </c>
      <c r="C156" s="10">
        <v>9148069703</v>
      </c>
      <c r="D156" s="9" t="s">
        <v>280</v>
      </c>
      <c r="E156" s="9">
        <f>COUNTIF($C$1:C156,C156)</f>
        <v>2</v>
      </c>
      <c r="F156" s="9" t="str">
        <f t="shared" si="47"/>
        <v>91480697032</v>
      </c>
      <c r="G156" s="9">
        <f t="shared" si="55"/>
        <v>0</v>
      </c>
      <c r="H156" s="9">
        <f t="shared" si="48"/>
        <v>0</v>
      </c>
      <c r="I156" s="2">
        <v>2035268465</v>
      </c>
      <c r="J156" s="3">
        <f t="shared" si="49"/>
        <v>1</v>
      </c>
      <c r="K156" s="3">
        <f t="shared" si="58"/>
        <v>0</v>
      </c>
      <c r="L156" s="3" t="e">
        <f t="shared" ca="1" si="50"/>
        <v>#NAME?</v>
      </c>
      <c r="M156" s="3" t="e">
        <f t="shared" ca="1" si="51"/>
        <v>#NAME?</v>
      </c>
      <c r="N156">
        <f t="shared" si="52"/>
        <v>1</v>
      </c>
      <c r="P156">
        <f t="shared" si="53"/>
        <v>395</v>
      </c>
      <c r="Q156" t="str">
        <f t="shared" si="61"/>
        <v/>
      </c>
      <c r="R156" t="str">
        <f t="shared" si="61"/>
        <v/>
      </c>
      <c r="S156" t="str">
        <f t="shared" si="61"/>
        <v/>
      </c>
      <c r="T156" t="str">
        <f t="shared" si="61"/>
        <v/>
      </c>
      <c r="U156" t="str">
        <f t="shared" si="61"/>
        <v/>
      </c>
      <c r="V156" t="str">
        <f t="shared" si="61"/>
        <v/>
      </c>
      <c r="Z156" t="str">
        <f t="shared" si="54"/>
        <v>THIAGO NUNES</v>
      </c>
      <c r="AA156" t="str">
        <f t="shared" si="62"/>
        <v/>
      </c>
      <c r="AB156" t="str">
        <f t="shared" si="62"/>
        <v/>
      </c>
      <c r="AC156" t="str">
        <f t="shared" si="62"/>
        <v/>
      </c>
      <c r="AD156" t="str">
        <f t="shared" si="62"/>
        <v/>
      </c>
      <c r="AE156" t="str">
        <f t="shared" si="62"/>
        <v/>
      </c>
      <c r="AF156" t="str">
        <f t="shared" si="62"/>
        <v/>
      </c>
      <c r="AV156">
        <v>155</v>
      </c>
      <c r="AW156" t="s">
        <v>119</v>
      </c>
    </row>
    <row r="157" spans="1:49">
      <c r="A157" s="9">
        <v>156</v>
      </c>
      <c r="B157" s="9" t="s">
        <v>120</v>
      </c>
      <c r="C157" s="10">
        <v>9144904255</v>
      </c>
      <c r="D157" s="9" t="s">
        <v>280</v>
      </c>
      <c r="E157" s="9">
        <f>COUNTIF($C$1:C157,C157)</f>
        <v>1</v>
      </c>
      <c r="F157" s="9" t="str">
        <f t="shared" si="47"/>
        <v>91449042551</v>
      </c>
      <c r="G157" s="9">
        <f t="shared" si="55"/>
        <v>0</v>
      </c>
      <c r="H157" s="9">
        <f t="shared" si="48"/>
        <v>1</v>
      </c>
      <c r="I157" s="4">
        <v>2035127679</v>
      </c>
      <c r="J157" s="5">
        <f t="shared" si="49"/>
        <v>1</v>
      </c>
      <c r="K157" s="5">
        <f t="shared" si="58"/>
        <v>0</v>
      </c>
      <c r="L157" s="5" t="e">
        <f t="shared" ca="1" si="50"/>
        <v>#NAME?</v>
      </c>
      <c r="M157" s="5" t="e">
        <f t="shared" ca="1" si="51"/>
        <v>#NAME?</v>
      </c>
      <c r="N157">
        <f t="shared" si="52"/>
        <v>1</v>
      </c>
      <c r="P157">
        <f t="shared" si="53"/>
        <v>399</v>
      </c>
      <c r="Q157" t="str">
        <f t="shared" si="61"/>
        <v/>
      </c>
      <c r="R157" t="str">
        <f t="shared" si="61"/>
        <v/>
      </c>
      <c r="S157" t="str">
        <f t="shared" si="61"/>
        <v/>
      </c>
      <c r="T157" t="str">
        <f t="shared" si="61"/>
        <v/>
      </c>
      <c r="U157" t="str">
        <f t="shared" si="61"/>
        <v/>
      </c>
      <c r="V157" t="str">
        <f t="shared" si="61"/>
        <v/>
      </c>
      <c r="Z157" t="str">
        <f t="shared" si="54"/>
        <v>KAIO</v>
      </c>
      <c r="AA157" t="str">
        <f t="shared" si="62"/>
        <v/>
      </c>
      <c r="AB157" t="str">
        <f t="shared" si="62"/>
        <v/>
      </c>
      <c r="AC157" t="str">
        <f t="shared" si="62"/>
        <v/>
      </c>
      <c r="AD157" t="str">
        <f t="shared" si="62"/>
        <v/>
      </c>
      <c r="AE157" t="str">
        <f t="shared" si="62"/>
        <v/>
      </c>
      <c r="AF157" t="str">
        <f t="shared" si="62"/>
        <v/>
      </c>
      <c r="AV157">
        <v>156</v>
      </c>
      <c r="AW157" t="s">
        <v>120</v>
      </c>
    </row>
    <row r="158" spans="1:49">
      <c r="A158" s="9">
        <v>157</v>
      </c>
      <c r="B158" s="9" t="s">
        <v>121</v>
      </c>
      <c r="C158" s="10">
        <v>5511961917900</v>
      </c>
      <c r="D158" s="9" t="s">
        <v>280</v>
      </c>
      <c r="E158" s="9">
        <f>COUNTIF($C$1:C158,C158)</f>
        <v>1</v>
      </c>
      <c r="F158" s="9" t="str">
        <f t="shared" si="47"/>
        <v>55119619179001</v>
      </c>
      <c r="G158" s="9">
        <f t="shared" si="55"/>
        <v>0</v>
      </c>
      <c r="H158" s="9">
        <f t="shared" si="48"/>
        <v>0</v>
      </c>
      <c r="I158" s="2">
        <v>2036838414</v>
      </c>
      <c r="J158" s="3">
        <f t="shared" si="49"/>
        <v>1</v>
      </c>
      <c r="K158" s="3">
        <f t="shared" si="58"/>
        <v>0</v>
      </c>
      <c r="L158" s="3" t="e">
        <f t="shared" ca="1" si="50"/>
        <v>#NAME?</v>
      </c>
      <c r="M158" s="3" t="e">
        <f t="shared" ca="1" si="51"/>
        <v>#NAME?</v>
      </c>
      <c r="N158">
        <f t="shared" si="52"/>
        <v>1</v>
      </c>
      <c r="P158">
        <f t="shared" si="53"/>
        <v>401</v>
      </c>
      <c r="Q158" t="str">
        <f t="shared" si="61"/>
        <v/>
      </c>
      <c r="R158" t="str">
        <f t="shared" si="61"/>
        <v/>
      </c>
      <c r="S158" t="str">
        <f t="shared" si="61"/>
        <v/>
      </c>
      <c r="T158" t="str">
        <f t="shared" si="61"/>
        <v/>
      </c>
      <c r="U158" t="str">
        <f t="shared" si="61"/>
        <v/>
      </c>
      <c r="V158" t="str">
        <f t="shared" si="61"/>
        <v/>
      </c>
      <c r="Z158" t="str">
        <f t="shared" si="54"/>
        <v>Samuel</v>
      </c>
      <c r="AA158" t="str">
        <f t="shared" si="62"/>
        <v/>
      </c>
      <c r="AB158" t="str">
        <f t="shared" si="62"/>
        <v/>
      </c>
      <c r="AC158" t="str">
        <f t="shared" si="62"/>
        <v/>
      </c>
      <c r="AD158" t="str">
        <f t="shared" si="62"/>
        <v/>
      </c>
      <c r="AE158" t="str">
        <f t="shared" si="62"/>
        <v/>
      </c>
      <c r="AF158" t="str">
        <f t="shared" si="62"/>
        <v/>
      </c>
      <c r="AV158">
        <v>157</v>
      </c>
      <c r="AW158" t="s">
        <v>121</v>
      </c>
    </row>
    <row r="159" spans="1:49">
      <c r="A159" s="9">
        <v>158</v>
      </c>
      <c r="B159" s="9" t="s">
        <v>117</v>
      </c>
      <c r="C159" s="10">
        <v>2035591129</v>
      </c>
      <c r="D159" s="9" t="s">
        <v>280</v>
      </c>
      <c r="E159" s="9">
        <f>COUNTIF($C$1:C159,C159)</f>
        <v>2</v>
      </c>
      <c r="F159" s="9" t="str">
        <f t="shared" si="47"/>
        <v>20355911292</v>
      </c>
      <c r="G159" s="9">
        <f t="shared" si="55"/>
        <v>1</v>
      </c>
      <c r="H159" s="9">
        <f t="shared" si="48"/>
        <v>0</v>
      </c>
      <c r="I159" s="4">
        <v>7327684454</v>
      </c>
      <c r="J159" s="5">
        <f t="shared" si="49"/>
        <v>1</v>
      </c>
      <c r="K159" s="5">
        <f t="shared" si="58"/>
        <v>0</v>
      </c>
      <c r="L159" s="5" t="e">
        <f t="shared" ca="1" si="50"/>
        <v>#NAME?</v>
      </c>
      <c r="M159" s="5" t="e">
        <f t="shared" ca="1" si="51"/>
        <v>#NAME?</v>
      </c>
      <c r="N159">
        <f t="shared" si="52"/>
        <v>1</v>
      </c>
      <c r="P159">
        <f t="shared" si="53"/>
        <v>403</v>
      </c>
      <c r="Q159" t="str">
        <f t="shared" si="61"/>
        <v/>
      </c>
      <c r="R159" t="str">
        <f t="shared" si="61"/>
        <v/>
      </c>
      <c r="S159" t="str">
        <f t="shared" si="61"/>
        <v/>
      </c>
      <c r="T159" t="str">
        <f t="shared" si="61"/>
        <v/>
      </c>
      <c r="U159" t="str">
        <f t="shared" si="61"/>
        <v/>
      </c>
      <c r="V159" t="str">
        <f t="shared" si="61"/>
        <v/>
      </c>
      <c r="Z159" t="str">
        <f t="shared" si="54"/>
        <v>SOFIA</v>
      </c>
      <c r="AA159" t="str">
        <f t="shared" si="62"/>
        <v/>
      </c>
      <c r="AB159" t="str">
        <f t="shared" si="62"/>
        <v/>
      </c>
      <c r="AC159" t="str">
        <f t="shared" si="62"/>
        <v/>
      </c>
      <c r="AD159" t="str">
        <f t="shared" si="62"/>
        <v/>
      </c>
      <c r="AE159" t="str">
        <f t="shared" si="62"/>
        <v/>
      </c>
      <c r="AF159" t="str">
        <f t="shared" si="62"/>
        <v/>
      </c>
      <c r="AV159">
        <v>158</v>
      </c>
      <c r="AW159" t="s">
        <v>117</v>
      </c>
    </row>
    <row r="160" spans="1:49">
      <c r="A160" s="9">
        <v>159</v>
      </c>
      <c r="B160" s="9"/>
      <c r="C160" s="10"/>
      <c r="D160" s="9"/>
      <c r="E160" s="9">
        <f>COUNTIF($C$1:C160,C160)</f>
        <v>0</v>
      </c>
      <c r="F160" s="9" t="str">
        <f t="shared" si="47"/>
        <v>0</v>
      </c>
      <c r="G160" s="9">
        <f t="shared" si="55"/>
        <v>0</v>
      </c>
      <c r="H160" s="9">
        <f t="shared" si="48"/>
        <v>0</v>
      </c>
      <c r="I160" s="2">
        <v>8453066909</v>
      </c>
      <c r="J160" s="3">
        <f t="shared" si="49"/>
        <v>1</v>
      </c>
      <c r="K160" s="3">
        <f t="shared" si="58"/>
        <v>0</v>
      </c>
      <c r="L160" s="3" t="e">
        <f t="shared" ca="1" si="50"/>
        <v>#NAME?</v>
      </c>
      <c r="M160" s="3" t="e">
        <f t="shared" ca="1" si="51"/>
        <v>#NAME?</v>
      </c>
      <c r="N160">
        <f t="shared" si="52"/>
        <v>1</v>
      </c>
      <c r="P160">
        <f t="shared" si="53"/>
        <v>407</v>
      </c>
      <c r="Q160" t="str">
        <f t="shared" si="61"/>
        <v/>
      </c>
      <c r="R160" t="str">
        <f t="shared" si="61"/>
        <v/>
      </c>
      <c r="S160" t="str">
        <f t="shared" si="61"/>
        <v/>
      </c>
      <c r="T160" t="str">
        <f t="shared" si="61"/>
        <v/>
      </c>
      <c r="U160" t="str">
        <f t="shared" si="61"/>
        <v/>
      </c>
      <c r="V160" t="str">
        <f t="shared" si="61"/>
        <v/>
      </c>
      <c r="Z160" t="str">
        <f t="shared" si="54"/>
        <v>Marcelo Simão</v>
      </c>
      <c r="AA160" t="str">
        <f t="shared" si="62"/>
        <v/>
      </c>
      <c r="AB160" t="str">
        <f t="shared" si="62"/>
        <v/>
      </c>
      <c r="AC160" t="str">
        <f t="shared" si="62"/>
        <v/>
      </c>
      <c r="AD160" t="str">
        <f t="shared" si="62"/>
        <v/>
      </c>
      <c r="AE160" t="str">
        <f t="shared" si="62"/>
        <v/>
      </c>
      <c r="AF160" t="str">
        <f t="shared" si="62"/>
        <v/>
      </c>
      <c r="AV160">
        <v>159</v>
      </c>
    </row>
    <row r="161" spans="1:49">
      <c r="A161" s="9">
        <v>160</v>
      </c>
      <c r="B161" s="9" t="s">
        <v>123</v>
      </c>
      <c r="C161" s="10">
        <v>2035591129</v>
      </c>
      <c r="D161" s="9" t="s">
        <v>280</v>
      </c>
      <c r="E161" s="9">
        <f>COUNTIF($C$1:C161,C161)</f>
        <v>3</v>
      </c>
      <c r="F161" s="9" t="str">
        <f t="shared" si="47"/>
        <v>20355911293</v>
      </c>
      <c r="G161" s="9">
        <f t="shared" si="55"/>
        <v>0</v>
      </c>
      <c r="H161" s="9">
        <f t="shared" si="48"/>
        <v>1</v>
      </c>
      <c r="I161" s="4">
        <v>2036825960</v>
      </c>
      <c r="J161" s="5">
        <f t="shared" si="49"/>
        <v>1</v>
      </c>
      <c r="K161" s="5">
        <f t="shared" si="58"/>
        <v>0</v>
      </c>
      <c r="L161" s="5" t="e">
        <f t="shared" ca="1" si="50"/>
        <v>#NAME?</v>
      </c>
      <c r="M161" s="5" t="e">
        <f t="shared" ca="1" si="51"/>
        <v>#NAME?</v>
      </c>
      <c r="N161">
        <f t="shared" si="52"/>
        <v>1</v>
      </c>
      <c r="P161">
        <f t="shared" si="53"/>
        <v>414</v>
      </c>
      <c r="Q161" t="str">
        <f t="shared" si="61"/>
        <v/>
      </c>
      <c r="R161" t="str">
        <f t="shared" si="61"/>
        <v/>
      </c>
      <c r="S161" t="str">
        <f t="shared" si="61"/>
        <v/>
      </c>
      <c r="T161" t="str">
        <f t="shared" si="61"/>
        <v/>
      </c>
      <c r="U161" t="str">
        <f t="shared" si="61"/>
        <v/>
      </c>
      <c r="V161" t="str">
        <f t="shared" si="61"/>
        <v/>
      </c>
      <c r="Z161" t="str">
        <f t="shared" si="54"/>
        <v>CESINHA</v>
      </c>
      <c r="AA161" t="str">
        <f t="shared" si="62"/>
        <v/>
      </c>
      <c r="AB161" t="str">
        <f t="shared" si="62"/>
        <v/>
      </c>
      <c r="AC161" t="str">
        <f t="shared" si="62"/>
        <v/>
      </c>
      <c r="AD161" t="str">
        <f t="shared" si="62"/>
        <v/>
      </c>
      <c r="AE161" t="str">
        <f t="shared" si="62"/>
        <v/>
      </c>
      <c r="AF161" t="str">
        <f t="shared" si="62"/>
        <v/>
      </c>
      <c r="AV161">
        <v>160</v>
      </c>
      <c r="AW161" t="s">
        <v>123</v>
      </c>
    </row>
    <row r="162" spans="1:49">
      <c r="A162" s="9">
        <v>161</v>
      </c>
      <c r="B162" s="9" t="s">
        <v>121</v>
      </c>
      <c r="C162" s="10">
        <v>5511961917900</v>
      </c>
      <c r="D162" s="9" t="s">
        <v>280</v>
      </c>
      <c r="E162" s="9">
        <f>COUNTIF($C$1:C162,C162)</f>
        <v>2</v>
      </c>
      <c r="F162" s="9" t="str">
        <f t="shared" si="47"/>
        <v>55119619179002</v>
      </c>
      <c r="G162" s="9">
        <f t="shared" si="55"/>
        <v>0</v>
      </c>
      <c r="H162" s="9">
        <f t="shared" si="48"/>
        <v>0</v>
      </c>
      <c r="I162" s="2">
        <v>9145654492</v>
      </c>
      <c r="J162" s="3">
        <f t="shared" si="49"/>
        <v>1</v>
      </c>
      <c r="K162" s="3">
        <f t="shared" si="58"/>
        <v>0</v>
      </c>
      <c r="L162" s="3" t="e">
        <f t="shared" ca="1" si="50"/>
        <v>#NAME?</v>
      </c>
      <c r="M162" s="3" t="e">
        <f t="shared" ca="1" si="51"/>
        <v>#NAME?</v>
      </c>
      <c r="N162">
        <f t="shared" si="52"/>
        <v>1</v>
      </c>
      <c r="P162">
        <f t="shared" si="53"/>
        <v>422</v>
      </c>
      <c r="Q162" t="str">
        <f t="shared" ref="Q162:V167" si="63">IFERROR(" ,"&amp;INDEX($A$2:$A$501,MATCH($I162&amp;Q$1,$F$2:$F$501,0)),"")</f>
        <v/>
      </c>
      <c r="R162" t="str">
        <f t="shared" si="63"/>
        <v/>
      </c>
      <c r="S162" t="str">
        <f t="shared" si="63"/>
        <v/>
      </c>
      <c r="T162" t="str">
        <f t="shared" si="63"/>
        <v/>
      </c>
      <c r="U162" t="str">
        <f t="shared" si="63"/>
        <v/>
      </c>
      <c r="V162" t="str">
        <f t="shared" si="63"/>
        <v/>
      </c>
      <c r="Z162" t="str">
        <f t="shared" si="54"/>
        <v>Thiago /valesca</v>
      </c>
      <c r="AA162" t="str">
        <f t="shared" ref="AA162:AF167" si="64">IFERROR(" ,"&amp;INDEX($B$2:$B$501,MATCH($I162&amp;AA$1,$F$2:$F$501,0)),"")</f>
        <v/>
      </c>
      <c r="AB162" t="str">
        <f t="shared" si="64"/>
        <v/>
      </c>
      <c r="AC162" t="str">
        <f t="shared" si="64"/>
        <v/>
      </c>
      <c r="AD162" t="str">
        <f t="shared" si="64"/>
        <v/>
      </c>
      <c r="AE162" t="str">
        <f t="shared" si="64"/>
        <v/>
      </c>
      <c r="AF162" t="str">
        <f t="shared" si="64"/>
        <v/>
      </c>
      <c r="AV162">
        <v>161</v>
      </c>
      <c r="AW162" t="s">
        <v>121</v>
      </c>
    </row>
    <row r="163" spans="1:49">
      <c r="A163" s="9">
        <v>162</v>
      </c>
      <c r="B163" s="9" t="s">
        <v>124</v>
      </c>
      <c r="C163" s="10">
        <v>9144269391</v>
      </c>
      <c r="D163" s="9" t="s">
        <v>280</v>
      </c>
      <c r="E163" s="9">
        <f>COUNTIF($C$1:C163,C163)</f>
        <v>1</v>
      </c>
      <c r="F163" s="9" t="str">
        <f t="shared" si="47"/>
        <v>91442693911</v>
      </c>
      <c r="G163" s="9">
        <f t="shared" si="55"/>
        <v>0</v>
      </c>
      <c r="H163" s="9">
        <f t="shared" si="48"/>
        <v>0</v>
      </c>
      <c r="I163" s="4">
        <v>9144061023</v>
      </c>
      <c r="J163" s="5">
        <f t="shared" si="49"/>
        <v>1</v>
      </c>
      <c r="K163" s="5">
        <f t="shared" si="58"/>
        <v>0</v>
      </c>
      <c r="L163" s="5" t="e">
        <f t="shared" ca="1" si="50"/>
        <v>#NAME?</v>
      </c>
      <c r="M163" s="5" t="e">
        <f t="shared" ca="1" si="51"/>
        <v>#NAME?</v>
      </c>
      <c r="N163">
        <f t="shared" si="52"/>
        <v>1</v>
      </c>
      <c r="P163">
        <f t="shared" si="53"/>
        <v>425</v>
      </c>
      <c r="Q163" t="str">
        <f t="shared" si="63"/>
        <v/>
      </c>
      <c r="R163" t="str">
        <f t="shared" si="63"/>
        <v/>
      </c>
      <c r="S163" t="str">
        <f t="shared" si="63"/>
        <v/>
      </c>
      <c r="T163" t="str">
        <f t="shared" si="63"/>
        <v/>
      </c>
      <c r="U163" t="str">
        <f t="shared" si="63"/>
        <v/>
      </c>
      <c r="V163" t="str">
        <f t="shared" si="63"/>
        <v/>
      </c>
      <c r="Z163" t="str">
        <f t="shared" si="54"/>
        <v>Neima Paulino</v>
      </c>
      <c r="AA163" t="str">
        <f t="shared" si="64"/>
        <v/>
      </c>
      <c r="AB163" t="str">
        <f t="shared" si="64"/>
        <v/>
      </c>
      <c r="AC163" t="str">
        <f t="shared" si="64"/>
        <v/>
      </c>
      <c r="AD163" t="str">
        <f t="shared" si="64"/>
        <v/>
      </c>
      <c r="AE163" t="str">
        <f t="shared" si="64"/>
        <v/>
      </c>
      <c r="AF163" t="str">
        <f t="shared" si="64"/>
        <v/>
      </c>
      <c r="AV163">
        <v>162</v>
      </c>
      <c r="AW163" t="s">
        <v>124</v>
      </c>
    </row>
    <row r="164" spans="1:49">
      <c r="A164" s="9">
        <v>163</v>
      </c>
      <c r="B164" s="9" t="s">
        <v>125</v>
      </c>
      <c r="C164" s="10">
        <v>4754194333</v>
      </c>
      <c r="D164" s="9" t="s">
        <v>280</v>
      </c>
      <c r="E164" s="9">
        <f>COUNTIF($C$1:C164,C164)</f>
        <v>1</v>
      </c>
      <c r="F164" s="9" t="str">
        <f t="shared" si="47"/>
        <v>47541943331</v>
      </c>
      <c r="G164" s="9">
        <f t="shared" si="55"/>
        <v>0</v>
      </c>
      <c r="H164" s="9">
        <f t="shared" si="48"/>
        <v>0</v>
      </c>
      <c r="I164" s="2">
        <v>2038982085</v>
      </c>
      <c r="J164" s="3">
        <f t="shared" si="49"/>
        <v>2</v>
      </c>
      <c r="K164" s="3">
        <f t="shared" si="58"/>
        <v>0</v>
      </c>
      <c r="L164" s="3" t="e">
        <f t="shared" ca="1" si="50"/>
        <v>#NAME?</v>
      </c>
      <c r="M164" s="3" t="e">
        <f t="shared" ca="1" si="51"/>
        <v>#NAME?</v>
      </c>
      <c r="N164">
        <f t="shared" si="52"/>
        <v>2</v>
      </c>
      <c r="P164">
        <f t="shared" si="53"/>
        <v>426</v>
      </c>
      <c r="Q164" t="str">
        <f t="shared" si="63"/>
        <v xml:space="preserve"> ,439</v>
      </c>
      <c r="R164" t="str">
        <f t="shared" si="63"/>
        <v/>
      </c>
      <c r="S164" t="str">
        <f t="shared" si="63"/>
        <v/>
      </c>
      <c r="T164" t="str">
        <f t="shared" si="63"/>
        <v/>
      </c>
      <c r="U164" t="str">
        <f t="shared" si="63"/>
        <v/>
      </c>
      <c r="V164" t="str">
        <f t="shared" si="63"/>
        <v/>
      </c>
      <c r="Z164" t="str">
        <f t="shared" si="54"/>
        <v>FABRICIO SANTOS</v>
      </c>
      <c r="AA164" t="str">
        <f t="shared" si="64"/>
        <v xml:space="preserve"> ,FABRICIO SANTOS</v>
      </c>
      <c r="AB164" t="str">
        <f t="shared" si="64"/>
        <v/>
      </c>
      <c r="AC164" t="str">
        <f t="shared" si="64"/>
        <v/>
      </c>
      <c r="AD164" t="str">
        <f t="shared" si="64"/>
        <v/>
      </c>
      <c r="AE164" t="str">
        <f t="shared" si="64"/>
        <v/>
      </c>
      <c r="AF164" t="str">
        <f t="shared" si="64"/>
        <v/>
      </c>
      <c r="AV164">
        <v>163</v>
      </c>
      <c r="AW164" t="s">
        <v>125</v>
      </c>
    </row>
    <row r="165" spans="1:49" ht="14.4" hidden="1">
      <c r="A165" s="9">
        <v>164</v>
      </c>
      <c r="B165" s="9" t="s">
        <v>126</v>
      </c>
      <c r="C165" s="10">
        <v>9145620301</v>
      </c>
      <c r="D165" s="9" t="s">
        <v>280</v>
      </c>
      <c r="E165" s="9">
        <f>COUNTIF($C$1:C165,C165)</f>
        <v>1</v>
      </c>
      <c r="F165" s="9" t="str">
        <f t="shared" si="47"/>
        <v>91456203011</v>
      </c>
      <c r="G165" s="9">
        <f t="shared" si="55"/>
        <v>0</v>
      </c>
      <c r="H165" s="9">
        <f t="shared" si="48"/>
        <v>0</v>
      </c>
      <c r="I165" s="4">
        <v>9145226788</v>
      </c>
      <c r="J165" s="5">
        <f t="shared" si="49"/>
        <v>1</v>
      </c>
      <c r="K165" s="5">
        <f t="shared" si="58"/>
        <v>1</v>
      </c>
      <c r="L165" s="5" t="e">
        <f t="shared" ca="1" si="50"/>
        <v>#NAME?</v>
      </c>
      <c r="M165" s="5" t="e">
        <f t="shared" ca="1" si="51"/>
        <v>#NAME?</v>
      </c>
      <c r="N165">
        <f t="shared" si="52"/>
        <v>0</v>
      </c>
      <c r="P165">
        <f t="shared" si="53"/>
        <v>432</v>
      </c>
      <c r="Q165" t="str">
        <f t="shared" si="63"/>
        <v/>
      </c>
      <c r="R165" t="str">
        <f t="shared" si="63"/>
        <v/>
      </c>
      <c r="S165" t="str">
        <f t="shared" si="63"/>
        <v/>
      </c>
      <c r="T165" t="str">
        <f t="shared" si="63"/>
        <v/>
      </c>
      <c r="U165" t="str">
        <f t="shared" si="63"/>
        <v/>
      </c>
      <c r="V165" t="str">
        <f t="shared" si="63"/>
        <v/>
      </c>
      <c r="Z165" t="str">
        <f t="shared" si="54"/>
        <v>Leandro / Dione pg</v>
      </c>
      <c r="AA165" t="str">
        <f t="shared" si="64"/>
        <v/>
      </c>
      <c r="AB165" t="str">
        <f t="shared" si="64"/>
        <v/>
      </c>
      <c r="AC165" t="str">
        <f t="shared" si="64"/>
        <v/>
      </c>
      <c r="AD165" t="str">
        <f t="shared" si="64"/>
        <v/>
      </c>
      <c r="AE165" t="str">
        <f t="shared" si="64"/>
        <v/>
      </c>
      <c r="AF165" t="str">
        <f t="shared" si="64"/>
        <v/>
      </c>
      <c r="AV165">
        <v>164</v>
      </c>
      <c r="AW165" t="s">
        <v>126</v>
      </c>
    </row>
    <row r="166" spans="1:49" ht="14.4" hidden="1">
      <c r="A166" s="9">
        <v>165</v>
      </c>
      <c r="B166" s="9" t="s">
        <v>126</v>
      </c>
      <c r="C166" s="10">
        <v>9145620301</v>
      </c>
      <c r="D166" s="9" t="s">
        <v>280</v>
      </c>
      <c r="E166" s="9">
        <f>COUNTIF($C$1:C166,C166)</f>
        <v>2</v>
      </c>
      <c r="F166" s="9" t="str">
        <f t="shared" si="47"/>
        <v>91456203012</v>
      </c>
      <c r="G166" s="9">
        <f t="shared" si="55"/>
        <v>0</v>
      </c>
      <c r="H166" s="9">
        <f t="shared" si="48"/>
        <v>0</v>
      </c>
      <c r="I166" s="2">
        <v>2032283876</v>
      </c>
      <c r="J166" s="3">
        <f t="shared" si="49"/>
        <v>1</v>
      </c>
      <c r="K166" s="3">
        <f t="shared" si="58"/>
        <v>1</v>
      </c>
      <c r="L166" s="3" t="e">
        <f t="shared" ca="1" si="50"/>
        <v>#NAME?</v>
      </c>
      <c r="M166" s="3" t="e">
        <f t="shared" ca="1" si="51"/>
        <v>#NAME?</v>
      </c>
      <c r="N166">
        <f t="shared" si="52"/>
        <v>0</v>
      </c>
      <c r="P166">
        <f t="shared" si="53"/>
        <v>475</v>
      </c>
      <c r="Q166" t="str">
        <f t="shared" si="63"/>
        <v/>
      </c>
      <c r="R166" t="str">
        <f t="shared" si="63"/>
        <v/>
      </c>
      <c r="S166" t="str">
        <f t="shared" si="63"/>
        <v/>
      </c>
      <c r="T166" t="str">
        <f t="shared" si="63"/>
        <v/>
      </c>
      <c r="U166" t="str">
        <f t="shared" si="63"/>
        <v/>
      </c>
      <c r="V166" t="str">
        <f t="shared" si="63"/>
        <v/>
      </c>
      <c r="Z166" t="str">
        <f t="shared" si="54"/>
        <v>Junior cabra bom pg</v>
      </c>
      <c r="AA166" t="str">
        <f t="shared" si="64"/>
        <v/>
      </c>
      <c r="AB166" t="str">
        <f t="shared" si="64"/>
        <v/>
      </c>
      <c r="AC166" t="str">
        <f t="shared" si="64"/>
        <v/>
      </c>
      <c r="AD166" t="str">
        <f t="shared" si="64"/>
        <v/>
      </c>
      <c r="AE166" t="str">
        <f t="shared" si="64"/>
        <v/>
      </c>
      <c r="AF166" t="str">
        <f t="shared" si="64"/>
        <v/>
      </c>
      <c r="AV166">
        <v>165</v>
      </c>
      <c r="AW166" t="s">
        <v>126</v>
      </c>
    </row>
    <row r="167" spans="1:49">
      <c r="A167" s="9">
        <v>166</v>
      </c>
      <c r="B167" s="9" t="s">
        <v>127</v>
      </c>
      <c r="C167" s="10">
        <v>9145620301</v>
      </c>
      <c r="D167" s="9" t="s">
        <v>280</v>
      </c>
      <c r="E167" s="9">
        <f>COUNTIF($C$1:C167,C167)</f>
        <v>3</v>
      </c>
      <c r="F167" s="9" t="str">
        <f t="shared" si="47"/>
        <v>91456203013</v>
      </c>
      <c r="G167" s="9">
        <f t="shared" si="55"/>
        <v>0</v>
      </c>
      <c r="H167" s="9">
        <f t="shared" si="48"/>
        <v>1</v>
      </c>
      <c r="I167" s="4">
        <v>2033216644</v>
      </c>
      <c r="J167" s="5">
        <f t="shared" si="49"/>
        <v>1</v>
      </c>
      <c r="K167" s="5">
        <f t="shared" si="58"/>
        <v>0</v>
      </c>
      <c r="L167" s="5" t="e">
        <f t="shared" ca="1" si="50"/>
        <v>#NAME?</v>
      </c>
      <c r="M167" s="5" t="e">
        <f t="shared" ca="1" si="51"/>
        <v>#NAME?</v>
      </c>
      <c r="N167">
        <f t="shared" si="52"/>
        <v>1</v>
      </c>
      <c r="P167">
        <f t="shared" si="53"/>
        <v>483</v>
      </c>
      <c r="Q167" t="str">
        <f t="shared" si="63"/>
        <v/>
      </c>
      <c r="R167" t="str">
        <f t="shared" si="63"/>
        <v/>
      </c>
      <c r="S167" t="str">
        <f t="shared" si="63"/>
        <v/>
      </c>
      <c r="T167" t="str">
        <f t="shared" si="63"/>
        <v/>
      </c>
      <c r="U167" t="str">
        <f t="shared" si="63"/>
        <v/>
      </c>
      <c r="V167" t="str">
        <f t="shared" si="63"/>
        <v/>
      </c>
      <c r="Z167" t="str">
        <f t="shared" si="54"/>
        <v>Fábio Verizon</v>
      </c>
      <c r="AA167" t="str">
        <f t="shared" si="64"/>
        <v/>
      </c>
      <c r="AB167" t="str">
        <f t="shared" si="64"/>
        <v/>
      </c>
      <c r="AC167" t="str">
        <f t="shared" si="64"/>
        <v/>
      </c>
      <c r="AD167" t="str">
        <f t="shared" si="64"/>
        <v/>
      </c>
      <c r="AE167" t="str">
        <f t="shared" si="64"/>
        <v/>
      </c>
      <c r="AF167" t="str">
        <f t="shared" si="64"/>
        <v/>
      </c>
      <c r="AV167">
        <v>166</v>
      </c>
      <c r="AW167" t="s">
        <v>127</v>
      </c>
    </row>
    <row r="168" spans="1:49">
      <c r="A168" s="9">
        <v>167</v>
      </c>
      <c r="B168" s="9" t="s">
        <v>128</v>
      </c>
      <c r="C168" s="10">
        <v>2039534887</v>
      </c>
      <c r="D168" s="9" t="s">
        <v>280</v>
      </c>
      <c r="E168" s="9">
        <f>COUNTIF($C$1:C168,C168)</f>
        <v>2</v>
      </c>
      <c r="F168" s="9" t="str">
        <f t="shared" si="47"/>
        <v>20395348872</v>
      </c>
      <c r="G168" s="9">
        <f t="shared" si="55"/>
        <v>1</v>
      </c>
      <c r="H168" s="9">
        <f t="shared" si="48"/>
        <v>0</v>
      </c>
      <c r="AV168">
        <v>167</v>
      </c>
      <c r="AW168" t="s">
        <v>128</v>
      </c>
    </row>
    <row r="169" spans="1:49">
      <c r="A169" s="9">
        <v>168</v>
      </c>
      <c r="B169" s="9" t="s">
        <v>129</v>
      </c>
      <c r="C169" s="10">
        <v>2039819598</v>
      </c>
      <c r="D169" s="9" t="s">
        <v>280</v>
      </c>
      <c r="E169" s="9">
        <f>COUNTIF($C$1:C169,C169)</f>
        <v>2</v>
      </c>
      <c r="F169" s="9" t="str">
        <f t="shared" si="47"/>
        <v>20398195982</v>
      </c>
      <c r="G169" s="9">
        <f t="shared" si="55"/>
        <v>1</v>
      </c>
      <c r="H169" s="9">
        <f t="shared" si="48"/>
        <v>0</v>
      </c>
      <c r="I169"/>
      <c r="AV169">
        <v>168</v>
      </c>
      <c r="AW169" t="s">
        <v>129</v>
      </c>
    </row>
    <row r="170" spans="1:49">
      <c r="A170" s="9">
        <v>169</v>
      </c>
      <c r="B170" s="9" t="s">
        <v>130</v>
      </c>
      <c r="C170" s="10">
        <v>2036105893</v>
      </c>
      <c r="D170" s="9" t="s">
        <v>280</v>
      </c>
      <c r="E170" s="9">
        <f>COUNTIF($C$1:C170,C170)</f>
        <v>2</v>
      </c>
      <c r="F170" s="9" t="str">
        <f t="shared" si="47"/>
        <v>20361058932</v>
      </c>
      <c r="G170" s="9">
        <f t="shared" si="55"/>
        <v>0</v>
      </c>
      <c r="H170" s="9">
        <f t="shared" si="48"/>
        <v>0</v>
      </c>
      <c r="I170"/>
      <c r="AV170">
        <v>169</v>
      </c>
      <c r="AW170" t="s">
        <v>130</v>
      </c>
    </row>
    <row r="171" spans="1:49">
      <c r="A171" s="9">
        <v>170</v>
      </c>
      <c r="B171" s="9" t="s">
        <v>131</v>
      </c>
      <c r="C171" s="10">
        <v>2035360916</v>
      </c>
      <c r="D171" s="9" t="s">
        <v>280</v>
      </c>
      <c r="E171" s="9">
        <f>COUNTIF($C$1:C171,C171)</f>
        <v>1</v>
      </c>
      <c r="F171" s="9" t="str">
        <f t="shared" si="47"/>
        <v>20353609161</v>
      </c>
      <c r="G171" s="9">
        <f t="shared" si="55"/>
        <v>0</v>
      </c>
      <c r="H171" s="9">
        <f t="shared" si="48"/>
        <v>0</v>
      </c>
      <c r="I171"/>
      <c r="AV171">
        <v>170</v>
      </c>
      <c r="AW171" t="s">
        <v>131</v>
      </c>
    </row>
    <row r="172" spans="1:49">
      <c r="A172" s="9">
        <v>171</v>
      </c>
      <c r="B172" s="9" t="s">
        <v>23</v>
      </c>
      <c r="C172" s="10">
        <v>2039943998</v>
      </c>
      <c r="D172" s="9" t="s">
        <v>280</v>
      </c>
      <c r="E172" s="9">
        <f>COUNTIF($C$1:C172,C172)</f>
        <v>3</v>
      </c>
      <c r="F172" s="9" t="str">
        <f t="shared" si="47"/>
        <v>20399439983</v>
      </c>
      <c r="G172" s="9">
        <f t="shared" si="55"/>
        <v>0</v>
      </c>
      <c r="H172" s="9">
        <f t="shared" si="48"/>
        <v>0</v>
      </c>
      <c r="I172"/>
      <c r="AV172">
        <v>171</v>
      </c>
      <c r="AW172" t="s">
        <v>23</v>
      </c>
    </row>
    <row r="173" spans="1:49">
      <c r="A173" s="9">
        <v>172</v>
      </c>
      <c r="B173" s="9" t="s">
        <v>132</v>
      </c>
      <c r="C173" s="10">
        <v>4754493737</v>
      </c>
      <c r="D173" s="9" t="s">
        <v>280</v>
      </c>
      <c r="E173" s="9">
        <f>COUNTIF($C$1:C173,C173)</f>
        <v>1</v>
      </c>
      <c r="F173" s="9" t="str">
        <f t="shared" si="47"/>
        <v>47544937371</v>
      </c>
      <c r="G173" s="9">
        <f t="shared" si="55"/>
        <v>0</v>
      </c>
      <c r="H173" s="9">
        <f t="shared" si="48"/>
        <v>0</v>
      </c>
      <c r="I173"/>
      <c r="AV173">
        <v>172</v>
      </c>
      <c r="AW173" t="s">
        <v>132</v>
      </c>
    </row>
    <row r="174" spans="1:49">
      <c r="A174" s="9">
        <v>173</v>
      </c>
      <c r="B174" s="9"/>
      <c r="C174" s="10"/>
      <c r="D174" s="9"/>
      <c r="E174" s="9">
        <f>COUNTIF($C$1:C174,C174)</f>
        <v>0</v>
      </c>
      <c r="F174" s="9" t="str">
        <f t="shared" si="47"/>
        <v>0</v>
      </c>
      <c r="G174" s="9">
        <f t="shared" si="55"/>
        <v>0</v>
      </c>
      <c r="H174" s="9">
        <f t="shared" si="48"/>
        <v>0</v>
      </c>
      <c r="I174"/>
      <c r="AV174">
        <v>173</v>
      </c>
    </row>
    <row r="175" spans="1:49">
      <c r="A175" s="9">
        <v>174</v>
      </c>
      <c r="B175" s="9"/>
      <c r="C175" s="10"/>
      <c r="D175" s="9"/>
      <c r="E175" s="9">
        <f>COUNTIF($C$1:C175,C175)</f>
        <v>0</v>
      </c>
      <c r="F175" s="9" t="str">
        <f t="shared" si="47"/>
        <v>0</v>
      </c>
      <c r="G175" s="9">
        <f t="shared" si="55"/>
        <v>0</v>
      </c>
      <c r="H175" s="9">
        <f t="shared" si="48"/>
        <v>0</v>
      </c>
      <c r="I175"/>
      <c r="AV175">
        <v>174</v>
      </c>
    </row>
    <row r="176" spans="1:49">
      <c r="A176" s="9">
        <v>175</v>
      </c>
      <c r="B176" s="9" t="s">
        <v>133</v>
      </c>
      <c r="C176" s="10"/>
      <c r="D176" s="9" t="s">
        <v>281</v>
      </c>
      <c r="E176" s="9">
        <f>COUNTIF($C$1:C176,C176)</f>
        <v>0</v>
      </c>
      <c r="F176" s="9" t="str">
        <f t="shared" si="47"/>
        <v>0</v>
      </c>
      <c r="G176" s="9">
        <f t="shared" si="55"/>
        <v>1</v>
      </c>
      <c r="H176" s="9">
        <f t="shared" si="48"/>
        <v>0</v>
      </c>
      <c r="I176"/>
      <c r="AV176">
        <v>175</v>
      </c>
      <c r="AW176" t="s">
        <v>133</v>
      </c>
    </row>
    <row r="177" spans="1:49">
      <c r="A177" s="9">
        <v>176</v>
      </c>
      <c r="B177" s="9"/>
      <c r="C177" s="10"/>
      <c r="D177" s="9"/>
      <c r="E177" s="9">
        <f>COUNTIF($C$1:C177,C177)</f>
        <v>0</v>
      </c>
      <c r="F177" s="9" t="str">
        <f t="shared" si="47"/>
        <v>0</v>
      </c>
      <c r="G177" s="9">
        <f t="shared" si="55"/>
        <v>0</v>
      </c>
      <c r="H177" s="9">
        <f t="shared" si="48"/>
        <v>0</v>
      </c>
      <c r="I177"/>
      <c r="AV177">
        <v>176</v>
      </c>
    </row>
    <row r="178" spans="1:49">
      <c r="A178" s="9">
        <v>177</v>
      </c>
      <c r="B178" s="9" t="s">
        <v>95</v>
      </c>
      <c r="C178" s="10">
        <v>2035218381</v>
      </c>
      <c r="D178" s="9" t="s">
        <v>280</v>
      </c>
      <c r="E178" s="9">
        <f>COUNTIF($C$1:C178,C178)</f>
        <v>2</v>
      </c>
      <c r="F178" s="9" t="str">
        <f t="shared" si="47"/>
        <v>20352183812</v>
      </c>
      <c r="G178" s="9">
        <f t="shared" si="55"/>
        <v>1</v>
      </c>
      <c r="H178" s="9">
        <f t="shared" si="48"/>
        <v>0</v>
      </c>
      <c r="I178"/>
      <c r="AV178">
        <v>177</v>
      </c>
      <c r="AW178" t="s">
        <v>95</v>
      </c>
    </row>
    <row r="179" spans="1:49">
      <c r="A179" s="9">
        <v>178</v>
      </c>
      <c r="B179" s="9" t="s">
        <v>95</v>
      </c>
      <c r="C179" s="10">
        <v>2035218381</v>
      </c>
      <c r="D179" s="9" t="s">
        <v>280</v>
      </c>
      <c r="E179" s="9">
        <f>COUNTIF($C$1:C179,C179)</f>
        <v>3</v>
      </c>
      <c r="F179" s="9" t="str">
        <f t="shared" si="47"/>
        <v>20352183813</v>
      </c>
      <c r="G179" s="9">
        <f t="shared" si="55"/>
        <v>1</v>
      </c>
      <c r="H179" s="9">
        <f t="shared" si="48"/>
        <v>0</v>
      </c>
      <c r="I179"/>
      <c r="AV179">
        <v>178</v>
      </c>
      <c r="AW179" t="s">
        <v>95</v>
      </c>
    </row>
    <row r="180" spans="1:49">
      <c r="A180" s="9">
        <v>179</v>
      </c>
      <c r="B180" s="9" t="s">
        <v>306</v>
      </c>
      <c r="C180" s="10">
        <v>4754496806</v>
      </c>
      <c r="D180" s="9" t="s">
        <v>280</v>
      </c>
      <c r="E180" s="9">
        <f>COUNTIF($C$1:C180,C180)</f>
        <v>1</v>
      </c>
      <c r="F180" s="9" t="str">
        <f t="shared" si="47"/>
        <v>47544968061</v>
      </c>
      <c r="G180" s="9">
        <f t="shared" si="55"/>
        <v>1</v>
      </c>
      <c r="H180" s="9">
        <f t="shared" si="48"/>
        <v>0</v>
      </c>
      <c r="I180"/>
      <c r="AV180">
        <v>179</v>
      </c>
      <c r="AW180" t="s">
        <v>134</v>
      </c>
    </row>
    <row r="181" spans="1:49">
      <c r="A181" s="9">
        <v>180</v>
      </c>
      <c r="B181" s="9" t="s">
        <v>135</v>
      </c>
      <c r="C181" s="10">
        <v>2035406751</v>
      </c>
      <c r="D181" s="9" t="s">
        <v>280</v>
      </c>
      <c r="E181" s="9">
        <f>COUNTIF($C$1:C181,C181)</f>
        <v>1</v>
      </c>
      <c r="F181" s="9" t="str">
        <f t="shared" si="47"/>
        <v>20354067511</v>
      </c>
      <c r="G181" s="9">
        <f t="shared" si="55"/>
        <v>1</v>
      </c>
      <c r="H181" s="9">
        <f t="shared" si="48"/>
        <v>0</v>
      </c>
      <c r="I181"/>
      <c r="AV181">
        <v>180</v>
      </c>
      <c r="AW181" t="s">
        <v>135</v>
      </c>
    </row>
    <row r="182" spans="1:49">
      <c r="A182" s="9">
        <v>181</v>
      </c>
      <c r="B182" s="9" t="s">
        <v>71</v>
      </c>
      <c r="C182" s="10">
        <v>2034285344</v>
      </c>
      <c r="D182" s="9" t="s">
        <v>280</v>
      </c>
      <c r="E182" s="9">
        <f>COUNTIF($C$1:C182,C182)</f>
        <v>2</v>
      </c>
      <c r="F182" s="9" t="str">
        <f t="shared" si="47"/>
        <v>20342853442</v>
      </c>
      <c r="G182" s="9">
        <f t="shared" si="55"/>
        <v>0</v>
      </c>
      <c r="H182" s="9">
        <f t="shared" si="48"/>
        <v>0</v>
      </c>
      <c r="I182"/>
      <c r="AV182">
        <v>181</v>
      </c>
      <c r="AW182" t="s">
        <v>71</v>
      </c>
    </row>
    <row r="183" spans="1:49">
      <c r="A183" s="9">
        <v>182</v>
      </c>
      <c r="B183" s="9" t="s">
        <v>309</v>
      </c>
      <c r="C183" s="10">
        <v>2034494860</v>
      </c>
      <c r="D183" s="9" t="s">
        <v>280</v>
      </c>
      <c r="E183" s="9">
        <f>COUNTIF($C$1:C183,C183)</f>
        <v>1</v>
      </c>
      <c r="F183" s="9" t="str">
        <f t="shared" si="47"/>
        <v>20344948601</v>
      </c>
      <c r="G183" s="9">
        <f t="shared" si="55"/>
        <v>1</v>
      </c>
      <c r="H183" s="9">
        <f t="shared" si="48"/>
        <v>0</v>
      </c>
      <c r="I183"/>
      <c r="AV183">
        <v>182</v>
      </c>
      <c r="AW183" t="s">
        <v>136</v>
      </c>
    </row>
    <row r="184" spans="1:49">
      <c r="A184" s="9">
        <v>183</v>
      </c>
      <c r="B184" s="9"/>
      <c r="C184" s="10"/>
      <c r="D184" s="9"/>
      <c r="E184" s="9">
        <f>COUNTIF($C$1:C184,C184)</f>
        <v>0</v>
      </c>
      <c r="F184" s="9" t="str">
        <f t="shared" si="47"/>
        <v>0</v>
      </c>
      <c r="G184" s="9">
        <f t="shared" si="55"/>
        <v>0</v>
      </c>
      <c r="H184" s="9">
        <f t="shared" si="48"/>
        <v>0</v>
      </c>
      <c r="I184"/>
      <c r="AV184">
        <v>183</v>
      </c>
    </row>
    <row r="185" spans="1:49">
      <c r="A185" s="9">
        <v>184</v>
      </c>
      <c r="B185" s="9"/>
      <c r="C185" s="10"/>
      <c r="D185" s="9"/>
      <c r="E185" s="9">
        <f>COUNTIF($C$1:C185,C185)</f>
        <v>0</v>
      </c>
      <c r="F185" s="9" t="str">
        <f t="shared" si="47"/>
        <v>0</v>
      </c>
      <c r="G185" s="9">
        <f t="shared" si="55"/>
        <v>0</v>
      </c>
      <c r="H185" s="9">
        <f t="shared" si="48"/>
        <v>0</v>
      </c>
      <c r="I185"/>
      <c r="AV185">
        <v>184</v>
      </c>
    </row>
    <row r="186" spans="1:49">
      <c r="A186" s="9">
        <v>185</v>
      </c>
      <c r="B186" s="9" t="s">
        <v>137</v>
      </c>
      <c r="C186" s="10">
        <v>6465429753</v>
      </c>
      <c r="D186" s="9" t="s">
        <v>280</v>
      </c>
      <c r="E186" s="9">
        <f>COUNTIF($C$1:C186,C186)</f>
        <v>1</v>
      </c>
      <c r="F186" s="9" t="str">
        <f t="shared" si="47"/>
        <v>64654297531</v>
      </c>
      <c r="G186" s="9">
        <f t="shared" si="55"/>
        <v>1</v>
      </c>
      <c r="H186" s="9">
        <f t="shared" si="48"/>
        <v>0</v>
      </c>
      <c r="I186"/>
      <c r="AV186">
        <v>185</v>
      </c>
      <c r="AW186" t="s">
        <v>137</v>
      </c>
    </row>
    <row r="187" spans="1:49">
      <c r="A187" s="9">
        <v>186</v>
      </c>
      <c r="B187" s="9"/>
      <c r="C187" s="10"/>
      <c r="D187" s="9"/>
      <c r="E187" s="9">
        <f>COUNTIF($C$1:C187,C187)</f>
        <v>0</v>
      </c>
      <c r="F187" s="9" t="str">
        <f t="shared" si="47"/>
        <v>0</v>
      </c>
      <c r="G187" s="9">
        <f t="shared" si="55"/>
        <v>0</v>
      </c>
      <c r="H187" s="9">
        <f t="shared" si="48"/>
        <v>0</v>
      </c>
      <c r="I187"/>
      <c r="AV187">
        <v>186</v>
      </c>
    </row>
    <row r="188" spans="1:49">
      <c r="A188" s="9">
        <v>187</v>
      </c>
      <c r="B188" s="9" t="s">
        <v>138</v>
      </c>
      <c r="C188" s="10">
        <v>9142306486</v>
      </c>
      <c r="D188" s="9" t="s">
        <v>280</v>
      </c>
      <c r="E188" s="9">
        <f>COUNTIF($C$1:C188,C188)</f>
        <v>1</v>
      </c>
      <c r="F188" s="9" t="str">
        <f t="shared" si="47"/>
        <v>91423064861</v>
      </c>
      <c r="G188" s="9">
        <f t="shared" si="55"/>
        <v>0</v>
      </c>
      <c r="H188" s="9">
        <f t="shared" si="48"/>
        <v>0</v>
      </c>
      <c r="I188"/>
      <c r="AV188">
        <v>187</v>
      </c>
      <c r="AW188" t="s">
        <v>138</v>
      </c>
    </row>
    <row r="189" spans="1:49">
      <c r="A189" s="9">
        <v>188</v>
      </c>
      <c r="B189" s="9"/>
      <c r="C189" s="10"/>
      <c r="D189" s="9"/>
      <c r="E189" s="9">
        <f>COUNTIF($C$1:C189,C189)</f>
        <v>0</v>
      </c>
      <c r="F189" s="9" t="str">
        <f t="shared" si="47"/>
        <v>0</v>
      </c>
      <c r="G189" s="9">
        <f t="shared" si="55"/>
        <v>0</v>
      </c>
      <c r="H189" s="9">
        <f t="shared" si="48"/>
        <v>0</v>
      </c>
      <c r="I189"/>
      <c r="AV189">
        <v>188</v>
      </c>
    </row>
    <row r="190" spans="1:49">
      <c r="A190" s="9">
        <v>189</v>
      </c>
      <c r="B190" s="9"/>
      <c r="C190" s="10"/>
      <c r="D190" s="9"/>
      <c r="E190" s="9">
        <f>COUNTIF($C$1:C190,C190)</f>
        <v>0</v>
      </c>
      <c r="F190" s="9" t="str">
        <f t="shared" si="47"/>
        <v>0</v>
      </c>
      <c r="G190" s="9">
        <f t="shared" si="55"/>
        <v>0</v>
      </c>
      <c r="H190" s="9">
        <f t="shared" si="48"/>
        <v>0</v>
      </c>
      <c r="I190"/>
      <c r="AV190">
        <v>189</v>
      </c>
    </row>
    <row r="191" spans="1:49">
      <c r="A191" s="9">
        <v>190</v>
      </c>
      <c r="B191" s="9" t="s">
        <v>139</v>
      </c>
      <c r="C191" s="10"/>
      <c r="D191" s="9" t="s">
        <v>281</v>
      </c>
      <c r="E191" s="9">
        <f>COUNTIF($C$1:C191,C191)</f>
        <v>0</v>
      </c>
      <c r="F191" s="9" t="str">
        <f t="shared" si="47"/>
        <v>0</v>
      </c>
      <c r="G191" s="9">
        <f t="shared" si="55"/>
        <v>0</v>
      </c>
      <c r="H191" s="9">
        <f t="shared" si="48"/>
        <v>0</v>
      </c>
      <c r="I191"/>
      <c r="AV191">
        <v>190</v>
      </c>
      <c r="AW191" t="s">
        <v>139</v>
      </c>
    </row>
    <row r="192" spans="1:49">
      <c r="A192" s="9">
        <v>191</v>
      </c>
      <c r="B192" s="9" t="s">
        <v>20</v>
      </c>
      <c r="C192" s="10">
        <v>2033490246</v>
      </c>
      <c r="D192" s="9" t="s">
        <v>280</v>
      </c>
      <c r="E192" s="9">
        <f>COUNTIF($C$1:C192,C192)</f>
        <v>4</v>
      </c>
      <c r="F192" s="9" t="str">
        <f t="shared" si="47"/>
        <v>20334902464</v>
      </c>
      <c r="G192" s="9">
        <f t="shared" si="55"/>
        <v>1</v>
      </c>
      <c r="H192" s="9">
        <f t="shared" si="48"/>
        <v>0</v>
      </c>
      <c r="I192"/>
      <c r="AV192">
        <v>191</v>
      </c>
      <c r="AW192" t="s">
        <v>20</v>
      </c>
    </row>
    <row r="193" spans="1:49">
      <c r="A193" s="9">
        <v>192</v>
      </c>
      <c r="B193" s="9"/>
      <c r="C193" s="10"/>
      <c r="D193" s="9"/>
      <c r="E193" s="9">
        <f>COUNTIF($C$1:C193,C193)</f>
        <v>0</v>
      </c>
      <c r="F193" s="9" t="str">
        <f t="shared" si="47"/>
        <v>0</v>
      </c>
      <c r="G193" s="9">
        <f t="shared" si="55"/>
        <v>0</v>
      </c>
      <c r="H193" s="9">
        <f t="shared" si="48"/>
        <v>0</v>
      </c>
      <c r="I193"/>
      <c r="AV193">
        <v>192</v>
      </c>
    </row>
    <row r="194" spans="1:49">
      <c r="A194" s="9">
        <v>193</v>
      </c>
      <c r="B194" s="9" t="s">
        <v>300</v>
      </c>
      <c r="C194" s="10">
        <v>2038085888</v>
      </c>
      <c r="D194" s="9" t="s">
        <v>280</v>
      </c>
      <c r="E194" s="9">
        <f>COUNTIF($C$1:C194,C194)</f>
        <v>1</v>
      </c>
      <c r="F194" s="9" t="str">
        <f t="shared" si="47"/>
        <v>20380858881</v>
      </c>
      <c r="G194" s="9">
        <f t="shared" si="55"/>
        <v>1</v>
      </c>
      <c r="H194" s="9">
        <f t="shared" si="48"/>
        <v>0</v>
      </c>
      <c r="I194"/>
      <c r="AV194">
        <v>193</v>
      </c>
      <c r="AW194" t="s">
        <v>140</v>
      </c>
    </row>
    <row r="195" spans="1:49">
      <c r="A195" s="9">
        <v>194</v>
      </c>
      <c r="B195" s="9"/>
      <c r="C195" s="10"/>
      <c r="D195" s="9"/>
      <c r="E195" s="9">
        <f>COUNTIF($C$1:C195,C195)</f>
        <v>0</v>
      </c>
      <c r="F195" s="9" t="str">
        <f t="shared" ref="F195:F258" si="65">C195&amp;E195</f>
        <v>0</v>
      </c>
      <c r="G195" s="9">
        <f t="shared" si="55"/>
        <v>0</v>
      </c>
      <c r="H195" s="9">
        <f t="shared" ref="H195:H258" si="66">IF(IFERROR(FIND("free",LOWER(B195)),0)=0,0,1)</f>
        <v>0</v>
      </c>
      <c r="I195"/>
      <c r="AV195">
        <v>194</v>
      </c>
    </row>
    <row r="196" spans="1:49">
      <c r="A196" s="9">
        <v>195</v>
      </c>
      <c r="B196" s="9" t="s">
        <v>141</v>
      </c>
      <c r="C196" s="10">
        <v>2032401199</v>
      </c>
      <c r="D196" s="9" t="s">
        <v>280</v>
      </c>
      <c r="E196" s="9">
        <f>COUNTIF($C$1:C196,C196)</f>
        <v>1</v>
      </c>
      <c r="F196" s="9" t="str">
        <f t="shared" si="65"/>
        <v>20324011991</v>
      </c>
      <c r="G196" s="9">
        <f t="shared" ref="G196:G259" si="67">IF(IFERROR(FIND("pg",LOWER(B196)),0)=0,0,1)</f>
        <v>1</v>
      </c>
      <c r="H196" s="9">
        <f t="shared" si="66"/>
        <v>0</v>
      </c>
      <c r="I196"/>
      <c r="AV196">
        <v>195</v>
      </c>
      <c r="AW196" t="s">
        <v>141</v>
      </c>
    </row>
    <row r="197" spans="1:49">
      <c r="A197" s="9">
        <v>196</v>
      </c>
      <c r="B197" s="9"/>
      <c r="C197" s="10"/>
      <c r="D197" s="9"/>
      <c r="E197" s="9">
        <f>COUNTIF($C$1:C197,C197)</f>
        <v>0</v>
      </c>
      <c r="F197" s="9" t="str">
        <f t="shared" si="65"/>
        <v>0</v>
      </c>
      <c r="G197" s="9">
        <f t="shared" si="67"/>
        <v>0</v>
      </c>
      <c r="H197" s="9">
        <f t="shared" si="66"/>
        <v>0</v>
      </c>
      <c r="I197"/>
      <c r="AV197">
        <v>196</v>
      </c>
    </row>
    <row r="198" spans="1:49">
      <c r="A198" s="9">
        <v>197</v>
      </c>
      <c r="B198" s="9" t="s">
        <v>142</v>
      </c>
      <c r="C198" s="10">
        <v>2034503366</v>
      </c>
      <c r="D198" s="9" t="s">
        <v>280</v>
      </c>
      <c r="E198" s="9">
        <f>COUNTIF($C$1:C198,C198)</f>
        <v>1</v>
      </c>
      <c r="F198" s="9" t="str">
        <f t="shared" si="65"/>
        <v>20345033661</v>
      </c>
      <c r="G198" s="9">
        <f t="shared" si="67"/>
        <v>0</v>
      </c>
      <c r="H198" s="9">
        <f t="shared" si="66"/>
        <v>0</v>
      </c>
      <c r="I198"/>
      <c r="AV198">
        <v>197</v>
      </c>
      <c r="AW198" t="s">
        <v>142</v>
      </c>
    </row>
    <row r="199" spans="1:49">
      <c r="A199" s="9">
        <v>198</v>
      </c>
      <c r="B199" s="9" t="s">
        <v>143</v>
      </c>
      <c r="C199" s="10"/>
      <c r="D199" s="9" t="s">
        <v>281</v>
      </c>
      <c r="E199" s="9">
        <f>COUNTIF($C$1:C199,C199)</f>
        <v>0</v>
      </c>
      <c r="F199" s="9" t="str">
        <f t="shared" si="65"/>
        <v>0</v>
      </c>
      <c r="G199" s="9">
        <f t="shared" si="67"/>
        <v>0</v>
      </c>
      <c r="H199" s="9">
        <f t="shared" si="66"/>
        <v>0</v>
      </c>
      <c r="I199"/>
      <c r="AV199">
        <v>198</v>
      </c>
      <c r="AW199" t="s">
        <v>143</v>
      </c>
    </row>
    <row r="200" spans="1:49">
      <c r="A200" s="9">
        <v>199</v>
      </c>
      <c r="B200" s="9" t="s">
        <v>144</v>
      </c>
      <c r="C200" s="10">
        <v>9148048287</v>
      </c>
      <c r="D200" s="9" t="s">
        <v>280</v>
      </c>
      <c r="E200" s="9">
        <f>COUNTIF($C$1:C200,C200)</f>
        <v>1</v>
      </c>
      <c r="F200" s="9" t="str">
        <f t="shared" si="65"/>
        <v>91480482871</v>
      </c>
      <c r="G200" s="9">
        <f t="shared" si="67"/>
        <v>0</v>
      </c>
      <c r="H200" s="9">
        <f t="shared" si="66"/>
        <v>0</v>
      </c>
      <c r="I200"/>
      <c r="AV200">
        <v>199</v>
      </c>
      <c r="AW200" t="s">
        <v>144</v>
      </c>
    </row>
    <row r="201" spans="1:49">
      <c r="A201" s="9">
        <v>200</v>
      </c>
      <c r="B201" s="9" t="s">
        <v>145</v>
      </c>
      <c r="C201" s="10">
        <v>9144478366</v>
      </c>
      <c r="D201" s="9" t="s">
        <v>280</v>
      </c>
      <c r="E201" s="9">
        <f>COUNTIF($C$1:C201,C201)</f>
        <v>1</v>
      </c>
      <c r="F201" s="9" t="str">
        <f t="shared" si="65"/>
        <v>91444783661</v>
      </c>
      <c r="G201" s="9">
        <f t="shared" si="67"/>
        <v>0</v>
      </c>
      <c r="H201" s="9">
        <f t="shared" si="66"/>
        <v>0</v>
      </c>
      <c r="I201"/>
      <c r="AV201">
        <v>200</v>
      </c>
      <c r="AW201" t="s">
        <v>145</v>
      </c>
    </row>
    <row r="202" spans="1:49">
      <c r="A202" s="9">
        <v>201</v>
      </c>
      <c r="B202" s="9" t="s">
        <v>146</v>
      </c>
      <c r="C202" s="10">
        <v>2036192141</v>
      </c>
      <c r="D202" s="9" t="s">
        <v>280</v>
      </c>
      <c r="E202" s="9">
        <f>COUNTIF($C$1:C202,C202)</f>
        <v>1</v>
      </c>
      <c r="F202" s="9" t="str">
        <f t="shared" si="65"/>
        <v>20361921411</v>
      </c>
      <c r="G202" s="9">
        <f t="shared" si="67"/>
        <v>0</v>
      </c>
      <c r="H202" s="9">
        <f t="shared" si="66"/>
        <v>0</v>
      </c>
      <c r="I202"/>
      <c r="AV202">
        <v>201</v>
      </c>
      <c r="AW202" t="s">
        <v>146</v>
      </c>
    </row>
    <row r="203" spans="1:49">
      <c r="A203" s="9">
        <v>202</v>
      </c>
      <c r="B203" s="9" t="s">
        <v>115</v>
      </c>
      <c r="C203" s="10"/>
      <c r="D203" s="9"/>
      <c r="E203" s="9">
        <f>COUNTIF($C$1:C203,C203)</f>
        <v>0</v>
      </c>
      <c r="F203" s="9" t="str">
        <f t="shared" si="65"/>
        <v>0</v>
      </c>
      <c r="G203" s="9">
        <f t="shared" si="67"/>
        <v>0</v>
      </c>
      <c r="H203" s="9">
        <f t="shared" si="66"/>
        <v>0</v>
      </c>
      <c r="I203"/>
      <c r="AV203">
        <v>202</v>
      </c>
      <c r="AW203" t="s">
        <v>115</v>
      </c>
    </row>
    <row r="204" spans="1:49">
      <c r="A204" s="9">
        <v>203</v>
      </c>
      <c r="B204" s="9" t="s">
        <v>147</v>
      </c>
      <c r="C204" s="10">
        <v>2038220554</v>
      </c>
      <c r="D204" s="9" t="s">
        <v>280</v>
      </c>
      <c r="E204" s="9">
        <f>COUNTIF($C$1:C204,C204)</f>
        <v>1</v>
      </c>
      <c r="F204" s="9" t="str">
        <f t="shared" si="65"/>
        <v>20382205541</v>
      </c>
      <c r="G204" s="9">
        <f t="shared" si="67"/>
        <v>0</v>
      </c>
      <c r="H204" s="9">
        <f t="shared" si="66"/>
        <v>0</v>
      </c>
      <c r="I204"/>
      <c r="AV204">
        <v>203</v>
      </c>
      <c r="AW204" t="s">
        <v>147</v>
      </c>
    </row>
    <row r="205" spans="1:49">
      <c r="A205" s="9">
        <v>204</v>
      </c>
      <c r="B205" s="9"/>
      <c r="C205" s="10"/>
      <c r="D205" s="9"/>
      <c r="E205" s="9">
        <f>COUNTIF($C$1:C205,C205)</f>
        <v>0</v>
      </c>
      <c r="F205" s="9" t="str">
        <f t="shared" si="65"/>
        <v>0</v>
      </c>
      <c r="G205" s="9">
        <f t="shared" si="67"/>
        <v>0</v>
      </c>
      <c r="H205" s="9">
        <f t="shared" si="66"/>
        <v>0</v>
      </c>
      <c r="I205"/>
      <c r="AV205">
        <v>204</v>
      </c>
    </row>
    <row r="206" spans="1:49">
      <c r="A206" s="9">
        <v>205</v>
      </c>
      <c r="B206" s="9" t="s">
        <v>55</v>
      </c>
      <c r="C206" s="10">
        <v>9144003667</v>
      </c>
      <c r="D206" s="9" t="s">
        <v>280</v>
      </c>
      <c r="E206" s="9">
        <f>COUNTIF($C$1:C206,C206)</f>
        <v>2</v>
      </c>
      <c r="F206" s="9" t="str">
        <f t="shared" si="65"/>
        <v>91440036672</v>
      </c>
      <c r="G206" s="9">
        <f t="shared" si="67"/>
        <v>0</v>
      </c>
      <c r="H206" s="9">
        <f t="shared" si="66"/>
        <v>0</v>
      </c>
      <c r="I206"/>
      <c r="AV206">
        <v>205</v>
      </c>
      <c r="AW206" t="s">
        <v>55</v>
      </c>
    </row>
    <row r="207" spans="1:49">
      <c r="A207" s="9">
        <v>206</v>
      </c>
      <c r="B207" s="9"/>
      <c r="C207" s="10"/>
      <c r="D207" s="9"/>
      <c r="E207" s="9">
        <f>COUNTIF($C$1:C207,C207)</f>
        <v>0</v>
      </c>
      <c r="F207" s="9" t="str">
        <f t="shared" si="65"/>
        <v>0</v>
      </c>
      <c r="G207" s="9">
        <f t="shared" si="67"/>
        <v>0</v>
      </c>
      <c r="H207" s="9">
        <f t="shared" si="66"/>
        <v>0</v>
      </c>
      <c r="I207"/>
      <c r="AV207">
        <v>206</v>
      </c>
    </row>
    <row r="208" spans="1:49">
      <c r="A208" s="9">
        <v>207</v>
      </c>
      <c r="B208" s="9" t="s">
        <v>108</v>
      </c>
      <c r="C208" s="10"/>
      <c r="D208" s="9" t="s">
        <v>281</v>
      </c>
      <c r="E208" s="9">
        <f>COUNTIF($C$1:C208,C208)</f>
        <v>0</v>
      </c>
      <c r="F208" s="9" t="str">
        <f t="shared" si="65"/>
        <v>0</v>
      </c>
      <c r="G208" s="9">
        <f t="shared" si="67"/>
        <v>0</v>
      </c>
      <c r="H208" s="9">
        <f t="shared" si="66"/>
        <v>0</v>
      </c>
      <c r="I208"/>
      <c r="AV208">
        <v>207</v>
      </c>
      <c r="AW208" t="s">
        <v>108</v>
      </c>
    </row>
    <row r="209" spans="1:49">
      <c r="A209" s="9">
        <v>208</v>
      </c>
      <c r="B209" s="9"/>
      <c r="C209" s="10"/>
      <c r="D209" s="9"/>
      <c r="E209" s="9">
        <f>COUNTIF($C$1:C209,C209)</f>
        <v>0</v>
      </c>
      <c r="F209" s="9" t="str">
        <f t="shared" si="65"/>
        <v>0</v>
      </c>
      <c r="G209" s="9">
        <f t="shared" si="67"/>
        <v>0</v>
      </c>
      <c r="H209" s="9">
        <f t="shared" si="66"/>
        <v>0</v>
      </c>
      <c r="I209"/>
      <c r="AV209">
        <v>208</v>
      </c>
    </row>
    <row r="210" spans="1:49">
      <c r="A210" s="9">
        <v>209</v>
      </c>
      <c r="B210" s="9" t="s">
        <v>148</v>
      </c>
      <c r="C210" s="10">
        <v>9147558956</v>
      </c>
      <c r="D210" s="9" t="s">
        <v>280</v>
      </c>
      <c r="E210" s="9">
        <f>COUNTIF($C$1:C210,C210)</f>
        <v>1</v>
      </c>
      <c r="F210" s="9" t="str">
        <f t="shared" si="65"/>
        <v>91475589561</v>
      </c>
      <c r="G210" s="9">
        <f t="shared" si="67"/>
        <v>0</v>
      </c>
      <c r="H210" s="9">
        <f t="shared" si="66"/>
        <v>0</v>
      </c>
      <c r="I210"/>
      <c r="AV210">
        <v>209</v>
      </c>
      <c r="AW210" t="s">
        <v>148</v>
      </c>
    </row>
    <row r="211" spans="1:49">
      <c r="A211" s="9">
        <v>210</v>
      </c>
      <c r="B211" s="9" t="s">
        <v>148</v>
      </c>
      <c r="C211" s="10">
        <v>9147558956</v>
      </c>
      <c r="D211" s="9" t="s">
        <v>280</v>
      </c>
      <c r="E211" s="9">
        <f>COUNTIF($C$1:C211,C211)</f>
        <v>2</v>
      </c>
      <c r="F211" s="9" t="str">
        <f t="shared" si="65"/>
        <v>91475589562</v>
      </c>
      <c r="G211" s="9">
        <f t="shared" si="67"/>
        <v>0</v>
      </c>
      <c r="H211" s="9">
        <f t="shared" si="66"/>
        <v>0</v>
      </c>
      <c r="I211"/>
      <c r="AV211">
        <v>210</v>
      </c>
      <c r="AW211" t="s">
        <v>148</v>
      </c>
    </row>
    <row r="212" spans="1:49">
      <c r="A212" s="9">
        <v>211</v>
      </c>
      <c r="B212" s="9" t="s">
        <v>149</v>
      </c>
      <c r="C212" s="10">
        <v>2033606809</v>
      </c>
      <c r="D212" s="9" t="s">
        <v>280</v>
      </c>
      <c r="E212" s="9">
        <f>COUNTIF($C$1:C212,C212)</f>
        <v>1</v>
      </c>
      <c r="F212" s="9" t="str">
        <f t="shared" si="65"/>
        <v>20336068091</v>
      </c>
      <c r="G212" s="9">
        <f t="shared" si="67"/>
        <v>0</v>
      </c>
      <c r="H212" s="9">
        <f t="shared" si="66"/>
        <v>0</v>
      </c>
      <c r="I212"/>
      <c r="AV212">
        <v>211</v>
      </c>
      <c r="AW212" t="s">
        <v>149</v>
      </c>
    </row>
    <row r="213" spans="1:49">
      <c r="A213" s="9">
        <v>212</v>
      </c>
      <c r="B213" s="9"/>
      <c r="C213" s="10"/>
      <c r="D213" s="9"/>
      <c r="E213" s="9">
        <f>COUNTIF($C$1:C213,C213)</f>
        <v>0</v>
      </c>
      <c r="F213" s="9" t="str">
        <f t="shared" si="65"/>
        <v>0</v>
      </c>
      <c r="G213" s="9">
        <f t="shared" si="67"/>
        <v>0</v>
      </c>
      <c r="H213" s="9">
        <f t="shared" si="66"/>
        <v>0</v>
      </c>
      <c r="I213"/>
      <c r="AV213">
        <v>212</v>
      </c>
    </row>
    <row r="214" spans="1:49">
      <c r="A214" s="9">
        <v>213</v>
      </c>
      <c r="B214" s="9" t="s">
        <v>150</v>
      </c>
      <c r="C214" s="10">
        <v>9144695805</v>
      </c>
      <c r="D214" s="9" t="s">
        <v>280</v>
      </c>
      <c r="E214" s="9">
        <f>COUNTIF($C$1:C214,C214)</f>
        <v>1</v>
      </c>
      <c r="F214" s="9" t="str">
        <f t="shared" si="65"/>
        <v>91446958051</v>
      </c>
      <c r="G214" s="9">
        <f t="shared" si="67"/>
        <v>0</v>
      </c>
      <c r="H214" s="9">
        <f t="shared" si="66"/>
        <v>0</v>
      </c>
      <c r="I214"/>
      <c r="AV214">
        <v>213</v>
      </c>
      <c r="AW214" t="s">
        <v>150</v>
      </c>
    </row>
    <row r="215" spans="1:49">
      <c r="A215" s="9">
        <v>214</v>
      </c>
      <c r="B215" s="9" t="s">
        <v>151</v>
      </c>
      <c r="C215" s="10">
        <v>4752378538</v>
      </c>
      <c r="D215" s="9" t="s">
        <v>280</v>
      </c>
      <c r="E215" s="9">
        <f>COUNTIF($C$1:C215,C215)</f>
        <v>1</v>
      </c>
      <c r="F215" s="9" t="str">
        <f t="shared" si="65"/>
        <v>47523785381</v>
      </c>
      <c r="G215" s="9">
        <f t="shared" si="67"/>
        <v>0</v>
      </c>
      <c r="H215" s="9">
        <f t="shared" si="66"/>
        <v>0</v>
      </c>
      <c r="I215"/>
      <c r="AV215">
        <v>214</v>
      </c>
      <c r="AW215" t="s">
        <v>151</v>
      </c>
    </row>
    <row r="216" spans="1:49">
      <c r="A216" s="9">
        <v>215</v>
      </c>
      <c r="B216" s="9" t="s">
        <v>113</v>
      </c>
      <c r="C216" s="10">
        <v>9144381725</v>
      </c>
      <c r="D216" s="9" t="s">
        <v>280</v>
      </c>
      <c r="E216" s="9">
        <f>COUNTIF($C$1:C216,C216)</f>
        <v>2</v>
      </c>
      <c r="F216" s="9" t="str">
        <f t="shared" si="65"/>
        <v>91443817252</v>
      </c>
      <c r="G216" s="9">
        <f t="shared" si="67"/>
        <v>0</v>
      </c>
      <c r="H216" s="9">
        <f t="shared" si="66"/>
        <v>0</v>
      </c>
      <c r="I216"/>
      <c r="AV216">
        <v>215</v>
      </c>
      <c r="AW216" t="s">
        <v>113</v>
      </c>
    </row>
    <row r="217" spans="1:49">
      <c r="A217" s="9">
        <v>216</v>
      </c>
      <c r="B217" s="9" t="s">
        <v>152</v>
      </c>
      <c r="C217" s="10">
        <v>9142270568</v>
      </c>
      <c r="D217" s="9" t="s">
        <v>280</v>
      </c>
      <c r="E217" s="9">
        <f>COUNTIF($C$1:C217,C217)</f>
        <v>1</v>
      </c>
      <c r="F217" s="9" t="str">
        <f t="shared" si="65"/>
        <v>91422705681</v>
      </c>
      <c r="G217" s="9">
        <f t="shared" si="67"/>
        <v>0</v>
      </c>
      <c r="H217" s="9">
        <f t="shared" si="66"/>
        <v>0</v>
      </c>
      <c r="I217"/>
      <c r="AV217">
        <v>216</v>
      </c>
      <c r="AW217" t="s">
        <v>152</v>
      </c>
    </row>
    <row r="218" spans="1:49">
      <c r="A218" s="9">
        <v>217</v>
      </c>
      <c r="B218" s="9" t="s">
        <v>153</v>
      </c>
      <c r="C218" s="10">
        <v>5162442819</v>
      </c>
      <c r="D218" s="9" t="s">
        <v>286</v>
      </c>
      <c r="E218" s="9">
        <f>COUNTIF($C$1:C218,C218)</f>
        <v>2</v>
      </c>
      <c r="F218" s="9" t="str">
        <f t="shared" si="65"/>
        <v>51624428192</v>
      </c>
      <c r="G218" s="9">
        <f t="shared" si="67"/>
        <v>0</v>
      </c>
      <c r="H218" s="9">
        <f t="shared" si="66"/>
        <v>0</v>
      </c>
      <c r="I218"/>
      <c r="AV218">
        <v>217</v>
      </c>
      <c r="AW218" t="s">
        <v>153</v>
      </c>
    </row>
    <row r="219" spans="1:49">
      <c r="A219" s="9">
        <v>218</v>
      </c>
      <c r="B219" s="9" t="s">
        <v>154</v>
      </c>
      <c r="C219" s="10">
        <v>2035229574</v>
      </c>
      <c r="D219" s="9" t="s">
        <v>280</v>
      </c>
      <c r="E219" s="9">
        <f>COUNTIF($C$1:C219,C219)</f>
        <v>1</v>
      </c>
      <c r="F219" s="9" t="str">
        <f t="shared" si="65"/>
        <v>20352295741</v>
      </c>
      <c r="G219" s="9">
        <f t="shared" si="67"/>
        <v>0</v>
      </c>
      <c r="H219" s="9">
        <f t="shared" si="66"/>
        <v>0</v>
      </c>
      <c r="I219"/>
      <c r="AV219">
        <v>218</v>
      </c>
      <c r="AW219" t="s">
        <v>154</v>
      </c>
    </row>
    <row r="220" spans="1:49">
      <c r="A220" s="9">
        <v>219</v>
      </c>
      <c r="B220" s="9" t="s">
        <v>154</v>
      </c>
      <c r="C220" s="10">
        <v>2035229574</v>
      </c>
      <c r="D220" s="9" t="s">
        <v>280</v>
      </c>
      <c r="E220" s="9">
        <f>COUNTIF($C$1:C220,C220)</f>
        <v>2</v>
      </c>
      <c r="F220" s="9" t="str">
        <f t="shared" si="65"/>
        <v>20352295742</v>
      </c>
      <c r="G220" s="9">
        <f t="shared" si="67"/>
        <v>0</v>
      </c>
      <c r="H220" s="9">
        <f t="shared" si="66"/>
        <v>0</v>
      </c>
      <c r="I220"/>
      <c r="AV220">
        <v>219</v>
      </c>
      <c r="AW220" t="s">
        <v>154</v>
      </c>
    </row>
    <row r="221" spans="1:49">
      <c r="A221" s="9">
        <v>220</v>
      </c>
      <c r="B221" s="9" t="s">
        <v>148</v>
      </c>
      <c r="C221" s="10">
        <v>9147558956</v>
      </c>
      <c r="D221" s="9" t="s">
        <v>280</v>
      </c>
      <c r="E221" s="9">
        <f>COUNTIF($C$1:C221,C221)</f>
        <v>3</v>
      </c>
      <c r="F221" s="9" t="str">
        <f t="shared" si="65"/>
        <v>91475589563</v>
      </c>
      <c r="G221" s="9">
        <f t="shared" si="67"/>
        <v>0</v>
      </c>
      <c r="H221" s="9">
        <f t="shared" si="66"/>
        <v>0</v>
      </c>
      <c r="I221"/>
      <c r="AV221">
        <v>220</v>
      </c>
      <c r="AW221" t="s">
        <v>148</v>
      </c>
    </row>
    <row r="222" spans="1:49">
      <c r="A222" s="9">
        <v>221</v>
      </c>
      <c r="B222" s="9" t="s">
        <v>65</v>
      </c>
      <c r="C222" s="10">
        <v>9143563105</v>
      </c>
      <c r="D222" s="9" t="s">
        <v>280</v>
      </c>
      <c r="E222" s="9">
        <f>COUNTIF($C$1:C222,C222)</f>
        <v>1</v>
      </c>
      <c r="F222" s="9" t="str">
        <f t="shared" si="65"/>
        <v>91435631051</v>
      </c>
      <c r="G222" s="9">
        <f t="shared" si="67"/>
        <v>0</v>
      </c>
      <c r="H222" s="9">
        <f t="shared" si="66"/>
        <v>0</v>
      </c>
      <c r="I222"/>
      <c r="AV222">
        <v>221</v>
      </c>
      <c r="AW222" t="s">
        <v>65</v>
      </c>
    </row>
    <row r="223" spans="1:49">
      <c r="A223" s="9">
        <v>222</v>
      </c>
      <c r="B223" s="9" t="s">
        <v>155</v>
      </c>
      <c r="C223" s="10">
        <v>5511973919591</v>
      </c>
      <c r="D223" s="9" t="s">
        <v>280</v>
      </c>
      <c r="E223" s="9">
        <f>COUNTIF($C$1:C223,C223)</f>
        <v>1</v>
      </c>
      <c r="F223" s="9" t="str">
        <f t="shared" si="65"/>
        <v>55119739195911</v>
      </c>
      <c r="G223" s="9">
        <f t="shared" si="67"/>
        <v>0</v>
      </c>
      <c r="H223" s="9">
        <f t="shared" si="66"/>
        <v>0</v>
      </c>
      <c r="I223"/>
      <c r="AV223">
        <v>222</v>
      </c>
      <c r="AW223" t="s">
        <v>155</v>
      </c>
    </row>
    <row r="224" spans="1:49">
      <c r="A224" s="9">
        <v>223</v>
      </c>
      <c r="B224" s="9" t="s">
        <v>156</v>
      </c>
      <c r="C224" s="10">
        <v>9142270568</v>
      </c>
      <c r="D224" s="9" t="s">
        <v>280</v>
      </c>
      <c r="E224" s="9">
        <f>COUNTIF($C$1:C224,C224)</f>
        <v>2</v>
      </c>
      <c r="F224" s="9" t="str">
        <f t="shared" si="65"/>
        <v>91422705682</v>
      </c>
      <c r="G224" s="9">
        <f t="shared" si="67"/>
        <v>0</v>
      </c>
      <c r="H224" s="9">
        <f t="shared" si="66"/>
        <v>0</v>
      </c>
      <c r="I224"/>
      <c r="AV224">
        <v>223</v>
      </c>
      <c r="AW224" t="s">
        <v>156</v>
      </c>
    </row>
    <row r="225" spans="1:49">
      <c r="A225" s="9">
        <v>224</v>
      </c>
      <c r="B225" s="9" t="s">
        <v>102</v>
      </c>
      <c r="C225" s="10">
        <v>2032472211</v>
      </c>
      <c r="D225" s="9" t="s">
        <v>280</v>
      </c>
      <c r="E225" s="9">
        <f>COUNTIF($C$1:C225,C225)</f>
        <v>2</v>
      </c>
      <c r="F225" s="9" t="str">
        <f t="shared" si="65"/>
        <v>20324722112</v>
      </c>
      <c r="G225" s="9">
        <f t="shared" si="67"/>
        <v>0</v>
      </c>
      <c r="H225" s="9">
        <f t="shared" si="66"/>
        <v>0</v>
      </c>
      <c r="I225"/>
      <c r="AV225">
        <v>224</v>
      </c>
      <c r="AW225" t="s">
        <v>102</v>
      </c>
    </row>
    <row r="226" spans="1:49">
      <c r="A226" s="9">
        <v>225</v>
      </c>
      <c r="B226" s="9" t="s">
        <v>157</v>
      </c>
      <c r="C226" s="10">
        <v>5515879636</v>
      </c>
      <c r="D226" s="9" t="s">
        <v>280</v>
      </c>
      <c r="E226" s="9">
        <f>COUNTIF($C$1:C226,C226)</f>
        <v>1</v>
      </c>
      <c r="F226" s="9" t="str">
        <f t="shared" si="65"/>
        <v>55158796361</v>
      </c>
      <c r="G226" s="9">
        <f t="shared" si="67"/>
        <v>0</v>
      </c>
      <c r="H226" s="9">
        <f t="shared" si="66"/>
        <v>0</v>
      </c>
      <c r="I226"/>
      <c r="AV226">
        <v>225</v>
      </c>
      <c r="AW226" t="s">
        <v>157</v>
      </c>
    </row>
    <row r="227" spans="1:49">
      <c r="A227" s="9">
        <v>226</v>
      </c>
      <c r="B227" s="9" t="s">
        <v>23</v>
      </c>
      <c r="C227" s="10">
        <v>2039943998</v>
      </c>
      <c r="D227" s="9" t="s">
        <v>280</v>
      </c>
      <c r="E227" s="9">
        <f>COUNTIF($C$1:C227,C227)</f>
        <v>4</v>
      </c>
      <c r="F227" s="9" t="str">
        <f t="shared" si="65"/>
        <v>20399439984</v>
      </c>
      <c r="G227" s="9">
        <f t="shared" si="67"/>
        <v>0</v>
      </c>
      <c r="H227" s="9">
        <f t="shared" si="66"/>
        <v>0</v>
      </c>
      <c r="I227"/>
      <c r="AV227">
        <v>226</v>
      </c>
      <c r="AW227" t="s">
        <v>23</v>
      </c>
    </row>
    <row r="228" spans="1:49">
      <c r="A228" s="9">
        <v>227</v>
      </c>
      <c r="B228" s="9"/>
      <c r="C228" s="10"/>
      <c r="D228" s="9"/>
      <c r="E228" s="9">
        <f>COUNTIF($C$1:C228,C228)</f>
        <v>0</v>
      </c>
      <c r="F228" s="9" t="str">
        <f t="shared" si="65"/>
        <v>0</v>
      </c>
      <c r="G228" s="9">
        <f t="shared" si="67"/>
        <v>0</v>
      </c>
      <c r="H228" s="9">
        <f t="shared" si="66"/>
        <v>0</v>
      </c>
      <c r="I228"/>
      <c r="AV228">
        <v>227</v>
      </c>
    </row>
    <row r="229" spans="1:49">
      <c r="A229" s="9">
        <v>228</v>
      </c>
      <c r="B229" s="9" t="s">
        <v>158</v>
      </c>
      <c r="C229" s="10">
        <v>2036908251</v>
      </c>
      <c r="D229" s="9" t="s">
        <v>280</v>
      </c>
      <c r="E229" s="9">
        <f>COUNTIF($C$1:C229,C229)</f>
        <v>1</v>
      </c>
      <c r="F229" s="9" t="str">
        <f t="shared" si="65"/>
        <v>20369082511</v>
      </c>
      <c r="G229" s="9">
        <f t="shared" si="67"/>
        <v>0</v>
      </c>
      <c r="H229" s="9">
        <f t="shared" si="66"/>
        <v>0</v>
      </c>
      <c r="I229"/>
      <c r="AV229">
        <v>228</v>
      </c>
      <c r="AW229" t="s">
        <v>158</v>
      </c>
    </row>
    <row r="230" spans="1:49">
      <c r="A230" s="9">
        <v>229</v>
      </c>
      <c r="B230" s="9"/>
      <c r="C230" s="10"/>
      <c r="D230" s="9"/>
      <c r="E230" s="9">
        <f>COUNTIF($C$1:C230,C230)</f>
        <v>0</v>
      </c>
      <c r="F230" s="9" t="str">
        <f t="shared" si="65"/>
        <v>0</v>
      </c>
      <c r="G230" s="9">
        <f t="shared" si="67"/>
        <v>0</v>
      </c>
      <c r="H230" s="9">
        <f t="shared" si="66"/>
        <v>0</v>
      </c>
      <c r="I230"/>
      <c r="AV230">
        <v>229</v>
      </c>
    </row>
    <row r="231" spans="1:49">
      <c r="A231" s="9">
        <v>230</v>
      </c>
      <c r="B231" s="9" t="s">
        <v>159</v>
      </c>
      <c r="C231" s="10">
        <v>2039233002</v>
      </c>
      <c r="D231" s="9" t="s">
        <v>280</v>
      </c>
      <c r="E231" s="9">
        <f>COUNTIF($C$1:C231,C231)</f>
        <v>1</v>
      </c>
      <c r="F231" s="9" t="str">
        <f t="shared" si="65"/>
        <v>20392330021</v>
      </c>
      <c r="G231" s="9">
        <f t="shared" si="67"/>
        <v>0</v>
      </c>
      <c r="H231" s="9">
        <f t="shared" si="66"/>
        <v>0</v>
      </c>
      <c r="I231"/>
      <c r="AV231">
        <v>230</v>
      </c>
      <c r="AW231" t="s">
        <v>159</v>
      </c>
    </row>
    <row r="232" spans="1:49">
      <c r="A232" s="9">
        <v>231</v>
      </c>
      <c r="B232" s="9" t="s">
        <v>131</v>
      </c>
      <c r="C232" s="10">
        <v>2035360916</v>
      </c>
      <c r="D232" s="9" t="s">
        <v>280</v>
      </c>
      <c r="E232" s="9">
        <f>COUNTIF($C$1:C232,C232)</f>
        <v>2</v>
      </c>
      <c r="F232" s="9" t="str">
        <f t="shared" si="65"/>
        <v>20353609162</v>
      </c>
      <c r="G232" s="9">
        <f t="shared" si="67"/>
        <v>0</v>
      </c>
      <c r="H232" s="9">
        <f t="shared" si="66"/>
        <v>0</v>
      </c>
      <c r="I232"/>
      <c r="AV232">
        <v>231</v>
      </c>
      <c r="AW232" t="s">
        <v>131</v>
      </c>
    </row>
    <row r="233" spans="1:49">
      <c r="A233" s="9">
        <v>232</v>
      </c>
      <c r="B233" s="9"/>
      <c r="C233" s="10"/>
      <c r="D233" s="9"/>
      <c r="E233" s="9">
        <f>COUNTIF($C$1:C233,C233)</f>
        <v>0</v>
      </c>
      <c r="F233" s="9" t="str">
        <f t="shared" si="65"/>
        <v>0</v>
      </c>
      <c r="G233" s="9">
        <f t="shared" si="67"/>
        <v>0</v>
      </c>
      <c r="H233" s="9">
        <f t="shared" si="66"/>
        <v>0</v>
      </c>
      <c r="I233"/>
      <c r="AV233">
        <v>232</v>
      </c>
    </row>
    <row r="234" spans="1:49">
      <c r="A234" s="9">
        <v>233</v>
      </c>
      <c r="B234" s="9" t="s">
        <v>160</v>
      </c>
      <c r="C234" s="10"/>
      <c r="D234" s="9"/>
      <c r="E234" s="9">
        <f>COUNTIF($C$1:C234,C234)</f>
        <v>0</v>
      </c>
      <c r="F234" s="9" t="str">
        <f t="shared" si="65"/>
        <v>0</v>
      </c>
      <c r="G234" s="9">
        <f t="shared" si="67"/>
        <v>0</v>
      </c>
      <c r="H234" s="9">
        <f t="shared" si="66"/>
        <v>0</v>
      </c>
      <c r="I234"/>
      <c r="AV234">
        <v>233</v>
      </c>
      <c r="AW234" t="s">
        <v>160</v>
      </c>
    </row>
    <row r="235" spans="1:49">
      <c r="A235" s="9">
        <v>234</v>
      </c>
      <c r="B235" s="9" t="s">
        <v>161</v>
      </c>
      <c r="C235" s="10">
        <v>2038985149</v>
      </c>
      <c r="D235" s="9" t="s">
        <v>280</v>
      </c>
      <c r="E235" s="9">
        <f>COUNTIF($C$1:C235,C235)</f>
        <v>3</v>
      </c>
      <c r="F235" s="9" t="str">
        <f t="shared" si="65"/>
        <v>20389851493</v>
      </c>
      <c r="G235" s="9">
        <f t="shared" si="67"/>
        <v>0</v>
      </c>
      <c r="H235" s="9">
        <f t="shared" si="66"/>
        <v>1</v>
      </c>
      <c r="I235"/>
      <c r="AV235">
        <v>234</v>
      </c>
      <c r="AW235" t="s">
        <v>161</v>
      </c>
    </row>
    <row r="236" spans="1:49">
      <c r="A236" s="9">
        <v>235</v>
      </c>
      <c r="B236" s="9" t="s">
        <v>162</v>
      </c>
      <c r="C236" s="10">
        <v>9143560756</v>
      </c>
      <c r="D236" s="9" t="s">
        <v>280</v>
      </c>
      <c r="E236" s="9">
        <f>COUNTIF($C$1:C236,C236)</f>
        <v>1</v>
      </c>
      <c r="F236" s="9" t="str">
        <f t="shared" si="65"/>
        <v>91435607561</v>
      </c>
      <c r="G236" s="9">
        <f t="shared" si="67"/>
        <v>0</v>
      </c>
      <c r="H236" s="9">
        <f t="shared" si="66"/>
        <v>0</v>
      </c>
      <c r="I236"/>
      <c r="AV236">
        <v>235</v>
      </c>
      <c r="AW236" t="s">
        <v>162</v>
      </c>
    </row>
    <row r="237" spans="1:49">
      <c r="A237" s="9">
        <v>236</v>
      </c>
      <c r="B237" s="9"/>
      <c r="C237" s="10"/>
      <c r="D237" s="9"/>
      <c r="E237" s="9">
        <f>COUNTIF($C$1:C237,C237)</f>
        <v>0</v>
      </c>
      <c r="F237" s="9" t="str">
        <f t="shared" si="65"/>
        <v>0</v>
      </c>
      <c r="G237" s="9">
        <f t="shared" si="67"/>
        <v>0</v>
      </c>
      <c r="H237" s="9">
        <f t="shared" si="66"/>
        <v>0</v>
      </c>
      <c r="I237"/>
      <c r="AV237">
        <v>236</v>
      </c>
    </row>
    <row r="238" spans="1:49">
      <c r="A238" s="9">
        <v>237</v>
      </c>
      <c r="B238" s="9" t="s">
        <v>163</v>
      </c>
      <c r="C238" s="10">
        <v>2034961500</v>
      </c>
      <c r="D238" s="9" t="s">
        <v>280</v>
      </c>
      <c r="E238" s="9">
        <f>COUNTIF($C$1:C238,C238)</f>
        <v>1</v>
      </c>
      <c r="F238" s="9" t="str">
        <f t="shared" si="65"/>
        <v>20349615001</v>
      </c>
      <c r="G238" s="9">
        <f t="shared" si="67"/>
        <v>0</v>
      </c>
      <c r="H238" s="9">
        <f t="shared" si="66"/>
        <v>0</v>
      </c>
      <c r="I238"/>
      <c r="AV238">
        <v>237</v>
      </c>
      <c r="AW238" t="s">
        <v>163</v>
      </c>
    </row>
    <row r="239" spans="1:49">
      <c r="A239" s="9">
        <v>238</v>
      </c>
      <c r="B239" s="9" t="s">
        <v>164</v>
      </c>
      <c r="C239" s="10"/>
      <c r="D239" s="9"/>
      <c r="E239" s="9">
        <f>COUNTIF($C$1:C239,C239)</f>
        <v>0</v>
      </c>
      <c r="F239" s="9" t="str">
        <f t="shared" si="65"/>
        <v>0</v>
      </c>
      <c r="G239" s="9">
        <f t="shared" si="67"/>
        <v>0</v>
      </c>
      <c r="H239" s="9">
        <f t="shared" si="66"/>
        <v>0</v>
      </c>
      <c r="I239"/>
      <c r="AV239">
        <v>238</v>
      </c>
      <c r="AW239" t="s">
        <v>164</v>
      </c>
    </row>
    <row r="240" spans="1:49">
      <c r="A240" s="9">
        <v>239</v>
      </c>
      <c r="B240" s="9" t="s">
        <v>165</v>
      </c>
      <c r="C240" s="10"/>
      <c r="D240" s="9"/>
      <c r="E240" s="9">
        <f>COUNTIF($C$1:C240,C240)</f>
        <v>0</v>
      </c>
      <c r="F240" s="9" t="str">
        <f t="shared" si="65"/>
        <v>0</v>
      </c>
      <c r="G240" s="9">
        <f t="shared" si="67"/>
        <v>0</v>
      </c>
      <c r="H240" s="9">
        <f t="shared" si="66"/>
        <v>0</v>
      </c>
      <c r="I240"/>
      <c r="AV240">
        <v>239</v>
      </c>
      <c r="AW240" t="s">
        <v>165</v>
      </c>
    </row>
    <row r="241" spans="1:49">
      <c r="A241" s="9">
        <v>240</v>
      </c>
      <c r="B241" s="9" t="s">
        <v>166</v>
      </c>
      <c r="C241" s="10"/>
      <c r="D241" s="9"/>
      <c r="E241" s="9">
        <f>COUNTIF($C$1:C241,C241)</f>
        <v>0</v>
      </c>
      <c r="F241" s="9" t="str">
        <f t="shared" si="65"/>
        <v>0</v>
      </c>
      <c r="G241" s="9">
        <f t="shared" si="67"/>
        <v>0</v>
      </c>
      <c r="H241" s="9">
        <f t="shared" si="66"/>
        <v>0</v>
      </c>
      <c r="I241"/>
      <c r="AV241">
        <v>240</v>
      </c>
      <c r="AW241" t="s">
        <v>166</v>
      </c>
    </row>
    <row r="242" spans="1:49">
      <c r="A242" s="9">
        <v>241</v>
      </c>
      <c r="B242" s="9" t="s">
        <v>167</v>
      </c>
      <c r="C242" s="10">
        <v>9144904255</v>
      </c>
      <c r="D242" s="9" t="s">
        <v>280</v>
      </c>
      <c r="E242" s="9">
        <f>COUNTIF($C$1:C242,C242)</f>
        <v>2</v>
      </c>
      <c r="F242" s="9" t="str">
        <f t="shared" si="65"/>
        <v>91449042552</v>
      </c>
      <c r="G242" s="9">
        <f t="shared" si="67"/>
        <v>0</v>
      </c>
      <c r="H242" s="9">
        <f t="shared" si="66"/>
        <v>0</v>
      </c>
      <c r="I242"/>
      <c r="AV242">
        <v>241</v>
      </c>
      <c r="AW242" t="s">
        <v>167</v>
      </c>
    </row>
    <row r="243" spans="1:49">
      <c r="A243" s="9">
        <v>242</v>
      </c>
      <c r="B243" s="9" t="s">
        <v>45</v>
      </c>
      <c r="C243" s="10">
        <v>2039237387</v>
      </c>
      <c r="D243" s="9" t="s">
        <v>280</v>
      </c>
      <c r="E243" s="9">
        <f>COUNTIF($C$1:C243,C243)</f>
        <v>3</v>
      </c>
      <c r="F243" s="9" t="str">
        <f t="shared" si="65"/>
        <v>20392373873</v>
      </c>
      <c r="G243" s="9">
        <f t="shared" si="67"/>
        <v>0</v>
      </c>
      <c r="H243" s="9">
        <f t="shared" si="66"/>
        <v>0</v>
      </c>
      <c r="I243"/>
      <c r="AV243">
        <v>242</v>
      </c>
      <c r="AW243" t="s">
        <v>45</v>
      </c>
    </row>
    <row r="244" spans="1:49">
      <c r="A244" s="9">
        <v>243</v>
      </c>
      <c r="B244" s="9" t="s">
        <v>168</v>
      </c>
      <c r="C244" s="10">
        <v>2033213501</v>
      </c>
      <c r="D244" s="9" t="s">
        <v>280</v>
      </c>
      <c r="E244" s="9">
        <f>COUNTIF($C$1:C244,C244)</f>
        <v>1</v>
      </c>
      <c r="F244" s="9" t="str">
        <f t="shared" si="65"/>
        <v>20332135011</v>
      </c>
      <c r="G244" s="9">
        <f t="shared" si="67"/>
        <v>1</v>
      </c>
      <c r="H244" s="9">
        <f t="shared" si="66"/>
        <v>0</v>
      </c>
      <c r="I244"/>
      <c r="AV244">
        <v>243</v>
      </c>
      <c r="AW244" t="s">
        <v>168</v>
      </c>
    </row>
    <row r="245" spans="1:49">
      <c r="A245" s="9">
        <v>244</v>
      </c>
      <c r="B245" s="9" t="s">
        <v>169</v>
      </c>
      <c r="C245" s="10">
        <v>9145654765</v>
      </c>
      <c r="D245" s="9" t="s">
        <v>280</v>
      </c>
      <c r="E245" s="9">
        <f>COUNTIF($C$1:C245,C245)</f>
        <v>1</v>
      </c>
      <c r="F245" s="9" t="str">
        <f t="shared" si="65"/>
        <v>91456547651</v>
      </c>
      <c r="G245" s="9">
        <f t="shared" si="67"/>
        <v>0</v>
      </c>
      <c r="H245" s="9">
        <f t="shared" si="66"/>
        <v>0</v>
      </c>
      <c r="I245"/>
      <c r="AV245">
        <v>244</v>
      </c>
      <c r="AW245" t="s">
        <v>169</v>
      </c>
    </row>
    <row r="246" spans="1:49">
      <c r="A246" s="9">
        <v>245</v>
      </c>
      <c r="B246" s="9" t="s">
        <v>170</v>
      </c>
      <c r="C246" s="10">
        <v>5511976704883</v>
      </c>
      <c r="D246" s="9" t="s">
        <v>280</v>
      </c>
      <c r="E246" s="9">
        <f>COUNTIF($C$1:C246,C246)</f>
        <v>1</v>
      </c>
      <c r="F246" s="9" t="str">
        <f t="shared" si="65"/>
        <v>55119767048831</v>
      </c>
      <c r="G246" s="9">
        <f t="shared" si="67"/>
        <v>0</v>
      </c>
      <c r="H246" s="9">
        <f t="shared" si="66"/>
        <v>0</v>
      </c>
      <c r="I246"/>
      <c r="AV246">
        <v>245</v>
      </c>
      <c r="AW246" t="s">
        <v>170</v>
      </c>
    </row>
    <row r="247" spans="1:49">
      <c r="A247" s="9">
        <v>246</v>
      </c>
      <c r="B247" s="9"/>
      <c r="C247" s="10"/>
      <c r="D247" s="9"/>
      <c r="E247" s="9">
        <f>COUNTIF($C$1:C247,C247)</f>
        <v>0</v>
      </c>
      <c r="F247" s="9" t="str">
        <f t="shared" si="65"/>
        <v>0</v>
      </c>
      <c r="G247" s="9">
        <f t="shared" si="67"/>
        <v>0</v>
      </c>
      <c r="H247" s="9">
        <f t="shared" si="66"/>
        <v>0</v>
      </c>
      <c r="I247"/>
      <c r="AV247">
        <v>246</v>
      </c>
    </row>
    <row r="248" spans="1:49">
      <c r="A248" s="9">
        <v>247</v>
      </c>
      <c r="B248" s="9" t="s">
        <v>171</v>
      </c>
      <c r="C248" s="10">
        <v>2038361045</v>
      </c>
      <c r="D248" s="9" t="s">
        <v>280</v>
      </c>
      <c r="E248" s="9">
        <f>COUNTIF($C$1:C248,C248)</f>
        <v>1</v>
      </c>
      <c r="F248" s="9" t="str">
        <f t="shared" si="65"/>
        <v>20383610451</v>
      </c>
      <c r="G248" s="9">
        <f t="shared" si="67"/>
        <v>0</v>
      </c>
      <c r="H248" s="9">
        <f t="shared" si="66"/>
        <v>0</v>
      </c>
      <c r="I248"/>
      <c r="AV248">
        <v>247</v>
      </c>
      <c r="AW248" t="s">
        <v>171</v>
      </c>
    </row>
    <row r="249" spans="1:49">
      <c r="A249" s="9">
        <v>248</v>
      </c>
      <c r="B249" s="9"/>
      <c r="C249" s="10"/>
      <c r="D249" s="9"/>
      <c r="E249" s="9">
        <f>COUNTIF($C$1:C249,C249)</f>
        <v>0</v>
      </c>
      <c r="F249" s="9" t="str">
        <f t="shared" si="65"/>
        <v>0</v>
      </c>
      <c r="G249" s="9">
        <f t="shared" si="67"/>
        <v>0</v>
      </c>
      <c r="H249" s="9">
        <f t="shared" si="66"/>
        <v>0</v>
      </c>
      <c r="I249"/>
      <c r="AV249">
        <v>248</v>
      </c>
    </row>
    <row r="250" spans="1:49">
      <c r="A250" s="9">
        <v>249</v>
      </c>
      <c r="B250" s="9"/>
      <c r="C250" s="10"/>
      <c r="D250" s="9"/>
      <c r="E250" s="9">
        <f>COUNTIF($C$1:C250,C250)</f>
        <v>0</v>
      </c>
      <c r="F250" s="9" t="str">
        <f t="shared" si="65"/>
        <v>0</v>
      </c>
      <c r="G250" s="9">
        <f t="shared" si="67"/>
        <v>0</v>
      </c>
      <c r="H250" s="9">
        <f t="shared" si="66"/>
        <v>0</v>
      </c>
      <c r="I250"/>
      <c r="AV250">
        <v>249</v>
      </c>
    </row>
    <row r="251" spans="1:49">
      <c r="A251" s="9">
        <v>250</v>
      </c>
      <c r="B251" s="9" t="s">
        <v>172</v>
      </c>
      <c r="C251" s="10">
        <v>4754590021</v>
      </c>
      <c r="D251" s="9" t="s">
        <v>280</v>
      </c>
      <c r="E251" s="9">
        <f>COUNTIF($C$1:C251,C251)</f>
        <v>1</v>
      </c>
      <c r="F251" s="9" t="str">
        <f t="shared" si="65"/>
        <v>47545900211</v>
      </c>
      <c r="G251" s="9">
        <f t="shared" si="67"/>
        <v>1</v>
      </c>
      <c r="H251" s="9">
        <f t="shared" si="66"/>
        <v>0</v>
      </c>
      <c r="I251"/>
      <c r="AV251">
        <v>250</v>
      </c>
      <c r="AW251" t="s">
        <v>172</v>
      </c>
    </row>
    <row r="252" spans="1:49">
      <c r="A252" s="9">
        <v>251</v>
      </c>
      <c r="B252" s="9" t="s">
        <v>173</v>
      </c>
      <c r="C252" s="10">
        <v>4754494453</v>
      </c>
      <c r="D252" s="9" t="s">
        <v>280</v>
      </c>
      <c r="E252" s="9">
        <f>COUNTIF($C$1:C252,C252)</f>
        <v>1</v>
      </c>
      <c r="F252" s="9" t="str">
        <f t="shared" si="65"/>
        <v>47544944531</v>
      </c>
      <c r="G252" s="9">
        <f t="shared" si="67"/>
        <v>0</v>
      </c>
      <c r="H252" s="9">
        <f t="shared" si="66"/>
        <v>0</v>
      </c>
      <c r="I252"/>
      <c r="AV252">
        <v>251</v>
      </c>
      <c r="AW252" t="s">
        <v>173</v>
      </c>
    </row>
    <row r="253" spans="1:49">
      <c r="A253" s="9">
        <v>252</v>
      </c>
      <c r="B253" s="9"/>
      <c r="C253" s="10"/>
      <c r="D253" s="9"/>
      <c r="E253" s="9">
        <f>COUNTIF($C$1:C253,C253)</f>
        <v>0</v>
      </c>
      <c r="F253" s="9" t="str">
        <f t="shared" si="65"/>
        <v>0</v>
      </c>
      <c r="G253" s="9">
        <f t="shared" si="67"/>
        <v>0</v>
      </c>
      <c r="H253" s="9">
        <f t="shared" si="66"/>
        <v>0</v>
      </c>
      <c r="I253"/>
      <c r="AV253">
        <v>252</v>
      </c>
    </row>
    <row r="254" spans="1:49">
      <c r="A254" s="9">
        <v>253</v>
      </c>
      <c r="B254" s="9"/>
      <c r="C254" s="10"/>
      <c r="D254" s="9"/>
      <c r="E254" s="9">
        <f>COUNTIF($C$1:C254,C254)</f>
        <v>0</v>
      </c>
      <c r="F254" s="9" t="str">
        <f t="shared" si="65"/>
        <v>0</v>
      </c>
      <c r="G254" s="9">
        <f t="shared" si="67"/>
        <v>0</v>
      </c>
      <c r="H254" s="9">
        <f t="shared" si="66"/>
        <v>0</v>
      </c>
      <c r="I254"/>
      <c r="AV254">
        <v>253</v>
      </c>
    </row>
    <row r="255" spans="1:49">
      <c r="A255" s="9">
        <v>254</v>
      </c>
      <c r="B255" s="9" t="s">
        <v>174</v>
      </c>
      <c r="C255" s="10"/>
      <c r="D255" s="9"/>
      <c r="E255" s="9">
        <f>COUNTIF($C$1:C255,C255)</f>
        <v>0</v>
      </c>
      <c r="F255" s="9" t="str">
        <f t="shared" si="65"/>
        <v>0</v>
      </c>
      <c r="G255" s="9">
        <f t="shared" si="67"/>
        <v>0</v>
      </c>
      <c r="H255" s="9">
        <f t="shared" si="66"/>
        <v>0</v>
      </c>
      <c r="I255"/>
      <c r="AV255">
        <v>254</v>
      </c>
      <c r="AW255" t="s">
        <v>174</v>
      </c>
    </row>
    <row r="256" spans="1:49">
      <c r="A256" s="9">
        <v>255</v>
      </c>
      <c r="B256" s="9" t="s">
        <v>141</v>
      </c>
      <c r="C256" s="10">
        <v>2032401199</v>
      </c>
      <c r="D256" s="9" t="s">
        <v>280</v>
      </c>
      <c r="E256" s="9">
        <f>COUNTIF($C$1:C256,C256)</f>
        <v>2</v>
      </c>
      <c r="F256" s="9" t="str">
        <f t="shared" si="65"/>
        <v>20324011992</v>
      </c>
      <c r="G256" s="9">
        <f t="shared" si="67"/>
        <v>1</v>
      </c>
      <c r="H256" s="9">
        <f t="shared" si="66"/>
        <v>0</v>
      </c>
      <c r="I256"/>
      <c r="AV256">
        <v>255</v>
      </c>
      <c r="AW256" t="s">
        <v>141</v>
      </c>
    </row>
    <row r="257" spans="1:49">
      <c r="A257" s="9">
        <v>256</v>
      </c>
      <c r="B257" s="9" t="s">
        <v>175</v>
      </c>
      <c r="C257" s="10">
        <v>2038078841</v>
      </c>
      <c r="D257" s="9" t="s">
        <v>280</v>
      </c>
      <c r="E257" s="9">
        <f>COUNTIF($C$1:C257,C257)</f>
        <v>1</v>
      </c>
      <c r="F257" s="9" t="str">
        <f t="shared" si="65"/>
        <v>20380788411</v>
      </c>
      <c r="G257" s="9">
        <f t="shared" si="67"/>
        <v>1</v>
      </c>
      <c r="H257" s="9">
        <f t="shared" si="66"/>
        <v>0</v>
      </c>
      <c r="I257"/>
      <c r="AV257">
        <v>256</v>
      </c>
      <c r="AW257" t="s">
        <v>175</v>
      </c>
    </row>
    <row r="258" spans="1:49">
      <c r="A258" s="9">
        <v>257</v>
      </c>
      <c r="B258" s="9" t="s">
        <v>156</v>
      </c>
      <c r="C258" s="10">
        <v>9142270568</v>
      </c>
      <c r="D258" s="9" t="s">
        <v>280</v>
      </c>
      <c r="E258" s="9">
        <f>COUNTIF($C$1:C258,C258)</f>
        <v>3</v>
      </c>
      <c r="F258" s="9" t="str">
        <f t="shared" si="65"/>
        <v>91422705683</v>
      </c>
      <c r="G258" s="9">
        <f t="shared" si="67"/>
        <v>0</v>
      </c>
      <c r="H258" s="9">
        <f t="shared" si="66"/>
        <v>0</v>
      </c>
      <c r="I258"/>
      <c r="AV258">
        <v>257</v>
      </c>
      <c r="AW258" t="s">
        <v>156</v>
      </c>
    </row>
    <row r="259" spans="1:49">
      <c r="A259" s="9">
        <v>258</v>
      </c>
      <c r="B259" s="9"/>
      <c r="C259" s="10"/>
      <c r="D259" s="9"/>
      <c r="E259" s="9">
        <f>COUNTIF($C$1:C259,C259)</f>
        <v>0</v>
      </c>
      <c r="F259" s="9" t="str">
        <f t="shared" ref="F259:F322" si="68">C259&amp;E259</f>
        <v>0</v>
      </c>
      <c r="G259" s="9">
        <f t="shared" si="67"/>
        <v>0</v>
      </c>
      <c r="H259" s="9">
        <f t="shared" ref="H259:H322" si="69">IF(IFERROR(FIND("free",LOWER(B259)),0)=0,0,1)</f>
        <v>0</v>
      </c>
      <c r="I259"/>
      <c r="AV259">
        <v>258</v>
      </c>
    </row>
    <row r="260" spans="1:49">
      <c r="A260" s="9">
        <v>259</v>
      </c>
      <c r="B260" s="9" t="s">
        <v>176</v>
      </c>
      <c r="C260" s="10">
        <v>9147602272</v>
      </c>
      <c r="D260" s="9" t="s">
        <v>280</v>
      </c>
      <c r="E260" s="9">
        <f>COUNTIF($C$1:C260,C260)</f>
        <v>5</v>
      </c>
      <c r="F260" s="9" t="str">
        <f t="shared" si="68"/>
        <v>91476022725</v>
      </c>
      <c r="G260" s="9">
        <f t="shared" ref="G260:G323" si="70">IF(IFERROR(FIND("pg",LOWER(B260)),0)=0,0,1)</f>
        <v>0</v>
      </c>
      <c r="H260" s="9">
        <f t="shared" si="69"/>
        <v>0</v>
      </c>
      <c r="I260"/>
      <c r="AV260">
        <v>259</v>
      </c>
      <c r="AW260" t="s">
        <v>176</v>
      </c>
    </row>
    <row r="261" spans="1:49">
      <c r="A261" s="9">
        <v>260</v>
      </c>
      <c r="B261" s="9" t="s">
        <v>177</v>
      </c>
      <c r="C261" s="10">
        <v>5511961917900</v>
      </c>
      <c r="D261" s="9" t="s">
        <v>280</v>
      </c>
      <c r="E261" s="9">
        <f>COUNTIF($C$1:C261,C261)</f>
        <v>3</v>
      </c>
      <c r="F261" s="9" t="str">
        <f t="shared" si="68"/>
        <v>55119619179003</v>
      </c>
      <c r="G261" s="9">
        <f t="shared" si="70"/>
        <v>0</v>
      </c>
      <c r="H261" s="9">
        <f t="shared" si="69"/>
        <v>1</v>
      </c>
      <c r="I261"/>
      <c r="AV261">
        <v>260</v>
      </c>
      <c r="AW261" t="s">
        <v>177</v>
      </c>
    </row>
    <row r="262" spans="1:49">
      <c r="A262" s="9">
        <v>261</v>
      </c>
      <c r="B262" s="9"/>
      <c r="C262" s="10"/>
      <c r="D262" s="9"/>
      <c r="E262" s="9">
        <f>COUNTIF($C$1:C262,C262)</f>
        <v>0</v>
      </c>
      <c r="F262" s="9" t="str">
        <f t="shared" si="68"/>
        <v>0</v>
      </c>
      <c r="G262" s="9">
        <f t="shared" si="70"/>
        <v>0</v>
      </c>
      <c r="H262" s="9">
        <f t="shared" si="69"/>
        <v>0</v>
      </c>
      <c r="I262"/>
      <c r="AV262">
        <v>261</v>
      </c>
    </row>
    <row r="263" spans="1:49">
      <c r="A263" s="9">
        <v>262</v>
      </c>
      <c r="B263" s="9"/>
      <c r="C263" s="10"/>
      <c r="D263" s="9"/>
      <c r="E263" s="9">
        <f>COUNTIF($C$1:C263,C263)</f>
        <v>0</v>
      </c>
      <c r="F263" s="9" t="str">
        <f t="shared" si="68"/>
        <v>0</v>
      </c>
      <c r="G263" s="9">
        <f t="shared" si="70"/>
        <v>0</v>
      </c>
      <c r="H263" s="9">
        <f t="shared" si="69"/>
        <v>0</v>
      </c>
      <c r="I263"/>
      <c r="AV263">
        <v>262</v>
      </c>
    </row>
    <row r="264" spans="1:49">
      <c r="A264" s="9">
        <v>263</v>
      </c>
      <c r="B264" s="9" t="s">
        <v>302</v>
      </c>
      <c r="C264" s="10">
        <v>9144386604</v>
      </c>
      <c r="D264" s="9" t="s">
        <v>280</v>
      </c>
      <c r="E264" s="9">
        <f>COUNTIF($C$1:C264,C264)</f>
        <v>1</v>
      </c>
      <c r="F264" s="9" t="str">
        <f t="shared" si="68"/>
        <v>91443866041</v>
      </c>
      <c r="G264" s="9">
        <f t="shared" si="70"/>
        <v>1</v>
      </c>
      <c r="H264" s="9">
        <f t="shared" si="69"/>
        <v>0</v>
      </c>
      <c r="I264"/>
      <c r="AV264">
        <v>263</v>
      </c>
      <c r="AW264" t="s">
        <v>178</v>
      </c>
    </row>
    <row r="265" spans="1:49">
      <c r="A265" s="9">
        <v>264</v>
      </c>
      <c r="B265" s="9" t="s">
        <v>179</v>
      </c>
      <c r="C265" s="10">
        <v>2032401199</v>
      </c>
      <c r="D265" s="9" t="s">
        <v>280</v>
      </c>
      <c r="E265" s="9">
        <f>COUNTIF($C$1:C265,C265)</f>
        <v>3</v>
      </c>
      <c r="F265" s="9" t="str">
        <f t="shared" si="68"/>
        <v>20324011993</v>
      </c>
      <c r="G265" s="9">
        <f t="shared" si="70"/>
        <v>0</v>
      </c>
      <c r="H265" s="9">
        <f t="shared" si="69"/>
        <v>1</v>
      </c>
      <c r="I265"/>
      <c r="AV265">
        <v>264</v>
      </c>
      <c r="AW265" t="s">
        <v>179</v>
      </c>
    </row>
    <row r="266" spans="1:49">
      <c r="A266" s="9">
        <v>265</v>
      </c>
      <c r="B266" s="9" t="s">
        <v>309</v>
      </c>
      <c r="C266" s="10">
        <v>2034494860</v>
      </c>
      <c r="D266" s="9" t="s">
        <v>280</v>
      </c>
      <c r="E266" s="9">
        <f>COUNTIF($C$1:C266,C266)</f>
        <v>2</v>
      </c>
      <c r="F266" s="9" t="str">
        <f t="shared" si="68"/>
        <v>20344948602</v>
      </c>
      <c r="G266" s="9">
        <f t="shared" si="70"/>
        <v>1</v>
      </c>
      <c r="H266" s="9">
        <f t="shared" si="69"/>
        <v>0</v>
      </c>
      <c r="I266"/>
      <c r="AV266">
        <v>265</v>
      </c>
      <c r="AW266" t="s">
        <v>136</v>
      </c>
    </row>
    <row r="267" spans="1:49">
      <c r="A267" s="9">
        <v>266</v>
      </c>
      <c r="B267" s="9" t="s">
        <v>180</v>
      </c>
      <c r="C267" s="10">
        <v>9146203904</v>
      </c>
      <c r="D267" s="9" t="s">
        <v>280</v>
      </c>
      <c r="E267" s="9">
        <f>COUNTIF($C$1:C267,C267)</f>
        <v>1</v>
      </c>
      <c r="F267" s="9" t="str">
        <f t="shared" si="68"/>
        <v>91462039041</v>
      </c>
      <c r="G267" s="9">
        <f t="shared" si="70"/>
        <v>0</v>
      </c>
      <c r="H267" s="9">
        <f t="shared" si="69"/>
        <v>0</v>
      </c>
      <c r="I267"/>
      <c r="AV267">
        <v>266</v>
      </c>
      <c r="AW267" t="s">
        <v>180</v>
      </c>
    </row>
    <row r="268" spans="1:49">
      <c r="A268" s="9">
        <v>267</v>
      </c>
      <c r="B268" s="9" t="s">
        <v>181</v>
      </c>
      <c r="C268" s="10"/>
      <c r="D268" s="9" t="s">
        <v>281</v>
      </c>
      <c r="E268" s="9">
        <f>COUNTIF($C$1:C268,C268)</f>
        <v>0</v>
      </c>
      <c r="F268" s="9" t="str">
        <f t="shared" si="68"/>
        <v>0</v>
      </c>
      <c r="G268" s="9">
        <f t="shared" si="70"/>
        <v>0</v>
      </c>
      <c r="H268" s="9">
        <f t="shared" si="69"/>
        <v>0</v>
      </c>
      <c r="I268"/>
      <c r="AV268">
        <v>267</v>
      </c>
      <c r="AW268" t="s">
        <v>181</v>
      </c>
    </row>
    <row r="269" spans="1:49">
      <c r="A269" s="9">
        <v>268</v>
      </c>
      <c r="B269" s="9" t="s">
        <v>182</v>
      </c>
      <c r="C269" s="10">
        <v>2038209096</v>
      </c>
      <c r="D269" s="9" t="s">
        <v>280</v>
      </c>
      <c r="E269" s="9">
        <f>COUNTIF($C$1:C269,C269)</f>
        <v>2</v>
      </c>
      <c r="F269" s="9" t="str">
        <f t="shared" si="68"/>
        <v>20382090962</v>
      </c>
      <c r="G269" s="9">
        <f t="shared" si="70"/>
        <v>0</v>
      </c>
      <c r="H269" s="9">
        <f t="shared" si="69"/>
        <v>0</v>
      </c>
      <c r="I269"/>
      <c r="AV269">
        <v>268</v>
      </c>
      <c r="AW269" t="s">
        <v>182</v>
      </c>
    </row>
    <row r="270" spans="1:49">
      <c r="A270" s="9">
        <v>269</v>
      </c>
      <c r="B270" s="9" t="s">
        <v>159</v>
      </c>
      <c r="C270" s="10">
        <v>2039233002</v>
      </c>
      <c r="D270" s="9" t="s">
        <v>280</v>
      </c>
      <c r="E270" s="9">
        <f>COUNTIF($C$1:C270,C270)</f>
        <v>2</v>
      </c>
      <c r="F270" s="9" t="str">
        <f t="shared" si="68"/>
        <v>20392330022</v>
      </c>
      <c r="G270" s="9">
        <f t="shared" si="70"/>
        <v>0</v>
      </c>
      <c r="H270" s="9">
        <f t="shared" si="69"/>
        <v>0</v>
      </c>
      <c r="I270"/>
      <c r="AV270">
        <v>269</v>
      </c>
      <c r="AW270" t="s">
        <v>159</v>
      </c>
    </row>
    <row r="271" spans="1:49">
      <c r="A271" s="9">
        <v>270</v>
      </c>
      <c r="B271" s="9" t="s">
        <v>170</v>
      </c>
      <c r="C271" s="10">
        <v>5511976704883</v>
      </c>
      <c r="D271" s="9" t="s">
        <v>280</v>
      </c>
      <c r="E271" s="9">
        <f>COUNTIF($C$1:C271,C271)</f>
        <v>2</v>
      </c>
      <c r="F271" s="9" t="str">
        <f t="shared" si="68"/>
        <v>55119767048832</v>
      </c>
      <c r="G271" s="9">
        <f t="shared" si="70"/>
        <v>0</v>
      </c>
      <c r="H271" s="9">
        <f t="shared" si="69"/>
        <v>0</v>
      </c>
      <c r="I271"/>
      <c r="AV271">
        <v>270</v>
      </c>
      <c r="AW271" t="s">
        <v>170</v>
      </c>
    </row>
    <row r="272" spans="1:49">
      <c r="A272" s="9">
        <v>271</v>
      </c>
      <c r="B272" s="9" t="s">
        <v>183</v>
      </c>
      <c r="C272" s="10">
        <v>8455279933</v>
      </c>
      <c r="D272" s="9" t="s">
        <v>280</v>
      </c>
      <c r="E272" s="9">
        <f>COUNTIF($C$1:C272,C272)</f>
        <v>1</v>
      </c>
      <c r="F272" s="9" t="str">
        <f t="shared" si="68"/>
        <v>84552799331</v>
      </c>
      <c r="G272" s="9">
        <f t="shared" si="70"/>
        <v>0</v>
      </c>
      <c r="H272" s="9">
        <f t="shared" si="69"/>
        <v>0</v>
      </c>
      <c r="I272"/>
      <c r="AV272">
        <v>271</v>
      </c>
      <c r="AW272" t="s">
        <v>183</v>
      </c>
    </row>
    <row r="273" spans="1:49">
      <c r="A273" s="9">
        <v>272</v>
      </c>
      <c r="B273" s="9" t="s">
        <v>107</v>
      </c>
      <c r="C273" s="10">
        <v>9146095697</v>
      </c>
      <c r="D273" s="9" t="s">
        <v>280</v>
      </c>
      <c r="E273" s="9">
        <f>COUNTIF($C$1:C273,C273)</f>
        <v>3</v>
      </c>
      <c r="F273" s="9" t="str">
        <f t="shared" si="68"/>
        <v>91460956973</v>
      </c>
      <c r="G273" s="9">
        <f t="shared" si="70"/>
        <v>1</v>
      </c>
      <c r="H273" s="9">
        <f t="shared" si="69"/>
        <v>0</v>
      </c>
      <c r="I273"/>
      <c r="AV273">
        <v>272</v>
      </c>
      <c r="AW273" t="s">
        <v>107</v>
      </c>
    </row>
    <row r="274" spans="1:49">
      <c r="A274" s="9">
        <v>273</v>
      </c>
      <c r="B274" s="9" t="s">
        <v>308</v>
      </c>
      <c r="C274" s="10">
        <v>9735172499</v>
      </c>
      <c r="D274" s="9" t="s">
        <v>280</v>
      </c>
      <c r="E274" s="9">
        <f>COUNTIF($C$1:C274,C274)</f>
        <v>1</v>
      </c>
      <c r="F274" s="9" t="str">
        <f t="shared" si="68"/>
        <v>97351724991</v>
      </c>
      <c r="G274" s="9">
        <f t="shared" si="70"/>
        <v>1</v>
      </c>
      <c r="H274" s="9">
        <f t="shared" si="69"/>
        <v>0</v>
      </c>
      <c r="I274"/>
      <c r="AV274">
        <v>273</v>
      </c>
      <c r="AW274" t="s">
        <v>184</v>
      </c>
    </row>
    <row r="275" spans="1:49">
      <c r="A275" s="9">
        <v>274</v>
      </c>
      <c r="B275" s="9" t="s">
        <v>185</v>
      </c>
      <c r="C275" s="10">
        <v>8455279933</v>
      </c>
      <c r="D275" s="9" t="s">
        <v>280</v>
      </c>
      <c r="E275" s="9">
        <f>COUNTIF($C$1:C275,C275)</f>
        <v>2</v>
      </c>
      <c r="F275" s="9" t="str">
        <f t="shared" si="68"/>
        <v>84552799332</v>
      </c>
      <c r="G275" s="9">
        <f t="shared" si="70"/>
        <v>0</v>
      </c>
      <c r="H275" s="9">
        <f t="shared" si="69"/>
        <v>0</v>
      </c>
      <c r="I275"/>
      <c r="AV275">
        <v>274</v>
      </c>
      <c r="AW275" t="s">
        <v>185</v>
      </c>
    </row>
    <row r="276" spans="1:49">
      <c r="A276" s="9">
        <v>275</v>
      </c>
      <c r="B276" s="9" t="s">
        <v>186</v>
      </c>
      <c r="C276" s="10">
        <v>9146095697</v>
      </c>
      <c r="D276" s="9" t="s">
        <v>280</v>
      </c>
      <c r="E276" s="9">
        <f>COUNTIF($C$1:C276,C276)</f>
        <v>4</v>
      </c>
      <c r="F276" s="9" t="str">
        <f t="shared" si="68"/>
        <v>91460956974</v>
      </c>
      <c r="G276" s="9">
        <f t="shared" si="70"/>
        <v>1</v>
      </c>
      <c r="H276" s="9">
        <f t="shared" si="69"/>
        <v>0</v>
      </c>
      <c r="I276"/>
      <c r="AV276">
        <v>275</v>
      </c>
      <c r="AW276" t="s">
        <v>186</v>
      </c>
    </row>
    <row r="277" spans="1:49">
      <c r="A277" s="9">
        <v>276</v>
      </c>
      <c r="B277" s="9" t="s">
        <v>187</v>
      </c>
      <c r="C277" s="10">
        <v>8455279933</v>
      </c>
      <c r="D277" s="9" t="s">
        <v>280</v>
      </c>
      <c r="E277" s="9">
        <f>COUNTIF($C$1:C277,C277)</f>
        <v>3</v>
      </c>
      <c r="F277" s="9" t="str">
        <f t="shared" si="68"/>
        <v>84552799333</v>
      </c>
      <c r="G277" s="9">
        <f t="shared" si="70"/>
        <v>0</v>
      </c>
      <c r="H277" s="9">
        <f t="shared" si="69"/>
        <v>0</v>
      </c>
      <c r="I277"/>
      <c r="AV277">
        <v>276</v>
      </c>
      <c r="AW277" t="s">
        <v>187</v>
      </c>
    </row>
    <row r="278" spans="1:49">
      <c r="A278" s="9">
        <v>277</v>
      </c>
      <c r="B278" s="9" t="s">
        <v>188</v>
      </c>
      <c r="C278" s="10">
        <v>9144695805</v>
      </c>
      <c r="D278" s="9" t="s">
        <v>280</v>
      </c>
      <c r="E278" s="9">
        <f>COUNTIF($C$1:C278,C278)</f>
        <v>2</v>
      </c>
      <c r="F278" s="9" t="str">
        <f t="shared" si="68"/>
        <v>91446958052</v>
      </c>
      <c r="G278" s="9">
        <f t="shared" si="70"/>
        <v>0</v>
      </c>
      <c r="H278" s="9">
        <f t="shared" si="69"/>
        <v>0</v>
      </c>
      <c r="I278"/>
      <c r="AV278">
        <v>277</v>
      </c>
      <c r="AW278" t="s">
        <v>188</v>
      </c>
    </row>
    <row r="279" spans="1:49">
      <c r="A279" s="9">
        <v>278</v>
      </c>
      <c r="B279" s="9"/>
      <c r="C279" s="10"/>
      <c r="D279" s="9"/>
      <c r="E279" s="9">
        <f>COUNTIF($C$1:C279,C279)</f>
        <v>0</v>
      </c>
      <c r="F279" s="9" t="str">
        <f t="shared" si="68"/>
        <v>0</v>
      </c>
      <c r="G279" s="9">
        <f t="shared" si="70"/>
        <v>0</v>
      </c>
      <c r="H279" s="9">
        <f t="shared" si="69"/>
        <v>0</v>
      </c>
      <c r="I279"/>
      <c r="AV279">
        <v>278</v>
      </c>
    </row>
    <row r="280" spans="1:49">
      <c r="A280" s="9">
        <v>279</v>
      </c>
      <c r="B280" s="9" t="s">
        <v>189</v>
      </c>
      <c r="C280" s="10">
        <v>2035218381</v>
      </c>
      <c r="D280" s="9" t="s">
        <v>280</v>
      </c>
      <c r="E280" s="9">
        <f>COUNTIF($C$1:C280,C280)</f>
        <v>4</v>
      </c>
      <c r="F280" s="9" t="str">
        <f t="shared" si="68"/>
        <v>20352183814</v>
      </c>
      <c r="G280" s="9">
        <f t="shared" si="70"/>
        <v>0</v>
      </c>
      <c r="H280" s="9">
        <f t="shared" si="69"/>
        <v>1</v>
      </c>
      <c r="I280"/>
      <c r="AV280">
        <v>279</v>
      </c>
      <c r="AW280" t="s">
        <v>189</v>
      </c>
    </row>
    <row r="281" spans="1:49">
      <c r="A281" s="9">
        <v>280</v>
      </c>
      <c r="B281" s="9" t="s">
        <v>190</v>
      </c>
      <c r="C281" s="10">
        <v>9148446172</v>
      </c>
      <c r="D281" s="9" t="s">
        <v>280</v>
      </c>
      <c r="E281" s="9">
        <f>COUNTIF($C$1:C281,C281)</f>
        <v>1</v>
      </c>
      <c r="F281" s="9" t="str">
        <f t="shared" si="68"/>
        <v>91484461721</v>
      </c>
      <c r="G281" s="9">
        <f t="shared" si="70"/>
        <v>0</v>
      </c>
      <c r="H281" s="9">
        <f t="shared" si="69"/>
        <v>0</v>
      </c>
      <c r="I281"/>
      <c r="AV281">
        <v>280</v>
      </c>
      <c r="AW281" t="s">
        <v>190</v>
      </c>
    </row>
    <row r="282" spans="1:49">
      <c r="A282" s="9">
        <v>281</v>
      </c>
      <c r="B282" s="9" t="s">
        <v>191</v>
      </c>
      <c r="C282" s="10">
        <v>9148446172</v>
      </c>
      <c r="D282" s="9" t="s">
        <v>292</v>
      </c>
      <c r="E282" s="9">
        <f>COUNTIF($C$1:C282,C282)</f>
        <v>2</v>
      </c>
      <c r="F282" s="9" t="str">
        <f t="shared" si="68"/>
        <v>91484461722</v>
      </c>
      <c r="G282" s="9">
        <f t="shared" si="70"/>
        <v>0</v>
      </c>
      <c r="H282" s="9">
        <f t="shared" si="69"/>
        <v>0</v>
      </c>
      <c r="I282"/>
      <c r="AV282">
        <v>281</v>
      </c>
      <c r="AW282" t="s">
        <v>191</v>
      </c>
    </row>
    <row r="283" spans="1:49">
      <c r="A283" s="9">
        <v>282</v>
      </c>
      <c r="B283" s="9" t="s">
        <v>78</v>
      </c>
      <c r="C283" s="10">
        <v>9143918505</v>
      </c>
      <c r="D283" s="9" t="s">
        <v>280</v>
      </c>
      <c r="E283" s="9">
        <f>COUNTIF($C$1:C283,C283)</f>
        <v>2</v>
      </c>
      <c r="F283" s="9" t="str">
        <f t="shared" si="68"/>
        <v>91439185052</v>
      </c>
      <c r="G283" s="9">
        <f t="shared" si="70"/>
        <v>0</v>
      </c>
      <c r="H283" s="9">
        <f t="shared" si="69"/>
        <v>0</v>
      </c>
      <c r="I283"/>
      <c r="AV283">
        <v>282</v>
      </c>
      <c r="AW283" t="s">
        <v>78</v>
      </c>
    </row>
    <row r="284" spans="1:49">
      <c r="A284" s="9">
        <v>283</v>
      </c>
      <c r="B284" s="9" t="s">
        <v>236</v>
      </c>
      <c r="C284" s="10">
        <v>5162442819</v>
      </c>
      <c r="D284" s="9" t="s">
        <v>280</v>
      </c>
      <c r="E284" s="9">
        <f>COUNTIF($C$1:C284,C284)</f>
        <v>3</v>
      </c>
      <c r="F284" s="9" t="str">
        <f t="shared" si="68"/>
        <v>51624428193</v>
      </c>
      <c r="G284" s="9">
        <f t="shared" si="70"/>
        <v>0</v>
      </c>
      <c r="H284" s="9">
        <f t="shared" si="69"/>
        <v>0</v>
      </c>
      <c r="I284"/>
      <c r="AV284">
        <v>283</v>
      </c>
      <c r="AW284" t="s">
        <v>100</v>
      </c>
    </row>
    <row r="285" spans="1:49">
      <c r="A285" s="9">
        <v>284</v>
      </c>
      <c r="B285" s="9"/>
      <c r="C285" s="10"/>
      <c r="D285" s="9"/>
      <c r="E285" s="9">
        <f>COUNTIF($C$1:C285,C285)</f>
        <v>0</v>
      </c>
      <c r="F285" s="9" t="str">
        <f t="shared" si="68"/>
        <v>0</v>
      </c>
      <c r="G285" s="9">
        <f t="shared" si="70"/>
        <v>0</v>
      </c>
      <c r="H285" s="9">
        <f t="shared" si="69"/>
        <v>0</v>
      </c>
      <c r="I285"/>
      <c r="AV285">
        <v>284</v>
      </c>
    </row>
    <row r="286" spans="1:49">
      <c r="A286" s="9">
        <v>285</v>
      </c>
      <c r="B286" s="9" t="s">
        <v>154</v>
      </c>
      <c r="C286" s="10">
        <v>2035229574</v>
      </c>
      <c r="D286" s="9" t="s">
        <v>280</v>
      </c>
      <c r="E286" s="9">
        <f>COUNTIF($C$1:C286,C286)</f>
        <v>3</v>
      </c>
      <c r="F286" s="9" t="str">
        <f t="shared" si="68"/>
        <v>20352295743</v>
      </c>
      <c r="G286" s="9">
        <f t="shared" si="70"/>
        <v>0</v>
      </c>
      <c r="H286" s="9">
        <f t="shared" si="69"/>
        <v>0</v>
      </c>
      <c r="I286"/>
      <c r="AV286">
        <v>285</v>
      </c>
      <c r="AW286" t="s">
        <v>154</v>
      </c>
    </row>
    <row r="287" spans="1:49">
      <c r="A287" s="9">
        <v>286</v>
      </c>
      <c r="B287" s="9"/>
      <c r="C287" s="10"/>
      <c r="D287" s="9"/>
      <c r="E287" s="9">
        <f>COUNTIF($C$1:C287,C287)</f>
        <v>0</v>
      </c>
      <c r="F287" s="9" t="str">
        <f t="shared" si="68"/>
        <v>0</v>
      </c>
      <c r="G287" s="9">
        <f t="shared" si="70"/>
        <v>0</v>
      </c>
      <c r="H287" s="9">
        <f t="shared" si="69"/>
        <v>0</v>
      </c>
      <c r="I287"/>
      <c r="AV287">
        <v>286</v>
      </c>
    </row>
    <row r="288" spans="1:49">
      <c r="A288" s="9">
        <v>287</v>
      </c>
      <c r="B288" s="9" t="s">
        <v>192</v>
      </c>
      <c r="C288" s="10">
        <v>2038640330</v>
      </c>
      <c r="D288" s="9" t="s">
        <v>280</v>
      </c>
      <c r="E288" s="9">
        <f>COUNTIF($C$1:C288,C288)</f>
        <v>1</v>
      </c>
      <c r="F288" s="9" t="str">
        <f t="shared" si="68"/>
        <v>20386403301</v>
      </c>
      <c r="G288" s="9">
        <f t="shared" si="70"/>
        <v>0</v>
      </c>
      <c r="H288" s="9">
        <f t="shared" si="69"/>
        <v>0</v>
      </c>
      <c r="I288"/>
      <c r="AV288">
        <v>287</v>
      </c>
      <c r="AW288" t="s">
        <v>192</v>
      </c>
    </row>
    <row r="289" spans="1:49">
      <c r="A289" s="9">
        <v>288</v>
      </c>
      <c r="B289" s="9"/>
      <c r="C289" s="10"/>
      <c r="D289" s="9"/>
      <c r="E289" s="9">
        <f>COUNTIF($C$1:C289,C289)</f>
        <v>0</v>
      </c>
      <c r="F289" s="9" t="str">
        <f t="shared" si="68"/>
        <v>0</v>
      </c>
      <c r="G289" s="9">
        <f t="shared" si="70"/>
        <v>0</v>
      </c>
      <c r="H289" s="9">
        <f t="shared" si="69"/>
        <v>0</v>
      </c>
      <c r="I289"/>
      <c r="AV289">
        <v>288</v>
      </c>
    </row>
    <row r="290" spans="1:49">
      <c r="A290" s="9">
        <v>289</v>
      </c>
      <c r="B290" s="9"/>
      <c r="C290" s="10"/>
      <c r="D290" s="9"/>
      <c r="E290" s="9">
        <f>COUNTIF($C$1:C290,C290)</f>
        <v>0</v>
      </c>
      <c r="F290" s="9" t="str">
        <f t="shared" si="68"/>
        <v>0</v>
      </c>
      <c r="G290" s="9">
        <f t="shared" si="70"/>
        <v>0</v>
      </c>
      <c r="H290" s="9">
        <f t="shared" si="69"/>
        <v>0</v>
      </c>
      <c r="I290"/>
      <c r="AV290">
        <v>289</v>
      </c>
    </row>
    <row r="291" spans="1:49">
      <c r="A291" s="9">
        <v>290</v>
      </c>
      <c r="B291" s="9"/>
      <c r="C291" s="10"/>
      <c r="D291" s="9"/>
      <c r="E291" s="9">
        <f>COUNTIF($C$1:C291,C291)</f>
        <v>0</v>
      </c>
      <c r="F291" s="9" t="str">
        <f t="shared" si="68"/>
        <v>0</v>
      </c>
      <c r="G291" s="9">
        <f t="shared" si="70"/>
        <v>0</v>
      </c>
      <c r="H291" s="9">
        <f t="shared" si="69"/>
        <v>0</v>
      </c>
      <c r="I291"/>
      <c r="AV291">
        <v>290</v>
      </c>
    </row>
    <row r="292" spans="1:49">
      <c r="A292" s="9">
        <v>291</v>
      </c>
      <c r="B292" s="9"/>
      <c r="C292" s="10"/>
      <c r="D292" s="9"/>
      <c r="E292" s="9">
        <f>COUNTIF($C$1:C292,C292)</f>
        <v>0</v>
      </c>
      <c r="F292" s="9" t="str">
        <f t="shared" si="68"/>
        <v>0</v>
      </c>
      <c r="G292" s="9">
        <f t="shared" si="70"/>
        <v>0</v>
      </c>
      <c r="H292" s="9">
        <f t="shared" si="69"/>
        <v>0</v>
      </c>
      <c r="I292"/>
      <c r="AV292">
        <v>291</v>
      </c>
    </row>
    <row r="293" spans="1:49">
      <c r="A293" s="9">
        <v>292</v>
      </c>
      <c r="B293" s="9"/>
      <c r="C293" s="10"/>
      <c r="D293" s="9"/>
      <c r="E293" s="9">
        <f>COUNTIF($C$1:C293,C293)</f>
        <v>0</v>
      </c>
      <c r="F293" s="9" t="str">
        <f t="shared" si="68"/>
        <v>0</v>
      </c>
      <c r="G293" s="9">
        <f t="shared" si="70"/>
        <v>0</v>
      </c>
      <c r="H293" s="9">
        <f t="shared" si="69"/>
        <v>0</v>
      </c>
      <c r="I293"/>
      <c r="AV293">
        <v>292</v>
      </c>
    </row>
    <row r="294" spans="1:49">
      <c r="A294" s="9">
        <v>293</v>
      </c>
      <c r="B294" s="9" t="s">
        <v>193</v>
      </c>
      <c r="C294" s="10">
        <v>4752065818</v>
      </c>
      <c r="D294" s="9" t="s">
        <v>280</v>
      </c>
      <c r="E294" s="9">
        <f>COUNTIF($C$1:C294,C294)</f>
        <v>1</v>
      </c>
      <c r="F294" s="9" t="str">
        <f t="shared" si="68"/>
        <v>47520658181</v>
      </c>
      <c r="G294" s="9">
        <f t="shared" si="70"/>
        <v>0</v>
      </c>
      <c r="H294" s="9">
        <f t="shared" si="69"/>
        <v>1</v>
      </c>
      <c r="I294"/>
      <c r="AV294">
        <v>293</v>
      </c>
      <c r="AW294" t="s">
        <v>193</v>
      </c>
    </row>
    <row r="295" spans="1:49">
      <c r="A295" s="9">
        <v>294</v>
      </c>
      <c r="B295" s="9"/>
      <c r="C295" s="10"/>
      <c r="D295" s="9"/>
      <c r="E295" s="9">
        <f>COUNTIF($C$1:C295,C295)</f>
        <v>0</v>
      </c>
      <c r="F295" s="9" t="str">
        <f t="shared" si="68"/>
        <v>0</v>
      </c>
      <c r="G295" s="9">
        <f t="shared" si="70"/>
        <v>0</v>
      </c>
      <c r="H295" s="9">
        <f t="shared" si="69"/>
        <v>0</v>
      </c>
      <c r="I295"/>
      <c r="AV295">
        <v>294</v>
      </c>
    </row>
    <row r="296" spans="1:49">
      <c r="A296" s="9">
        <v>295</v>
      </c>
      <c r="B296" s="9" t="s">
        <v>194</v>
      </c>
      <c r="C296" s="10">
        <v>9145624206</v>
      </c>
      <c r="D296" s="9" t="s">
        <v>291</v>
      </c>
      <c r="E296" s="9">
        <f>COUNTIF($C$1:C296,C296)</f>
        <v>1</v>
      </c>
      <c r="F296" s="9" t="str">
        <f t="shared" si="68"/>
        <v>91456242061</v>
      </c>
      <c r="G296" s="9">
        <f t="shared" si="70"/>
        <v>0</v>
      </c>
      <c r="H296" s="9">
        <f t="shared" si="69"/>
        <v>0</v>
      </c>
      <c r="I296"/>
      <c r="AV296">
        <v>295</v>
      </c>
      <c r="AW296" t="s">
        <v>194</v>
      </c>
    </row>
    <row r="297" spans="1:49">
      <c r="A297" s="9">
        <v>296</v>
      </c>
      <c r="B297" s="9" t="s">
        <v>195</v>
      </c>
      <c r="C297" s="10">
        <v>9145620301</v>
      </c>
      <c r="D297" s="9" t="s">
        <v>280</v>
      </c>
      <c r="E297" s="9">
        <f>COUNTIF($C$1:C297,C297)</f>
        <v>4</v>
      </c>
      <c r="F297" s="9" t="str">
        <f t="shared" si="68"/>
        <v>91456203014</v>
      </c>
      <c r="G297" s="9">
        <f t="shared" si="70"/>
        <v>0</v>
      </c>
      <c r="H297" s="9">
        <f t="shared" si="69"/>
        <v>0</v>
      </c>
      <c r="I297"/>
      <c r="AV297">
        <v>296</v>
      </c>
      <c r="AW297" t="s">
        <v>195</v>
      </c>
    </row>
    <row r="298" spans="1:49">
      <c r="A298" s="9">
        <v>297</v>
      </c>
      <c r="B298" s="9" t="s">
        <v>124</v>
      </c>
      <c r="C298" s="10">
        <v>9144269391</v>
      </c>
      <c r="D298" s="9" t="s">
        <v>280</v>
      </c>
      <c r="E298" s="9">
        <f>COUNTIF($C$1:C298,C298)</f>
        <v>2</v>
      </c>
      <c r="F298" s="9" t="str">
        <f t="shared" si="68"/>
        <v>91442693912</v>
      </c>
      <c r="G298" s="9">
        <f t="shared" si="70"/>
        <v>0</v>
      </c>
      <c r="H298" s="9">
        <f t="shared" si="69"/>
        <v>0</v>
      </c>
      <c r="I298"/>
      <c r="AV298">
        <v>297</v>
      </c>
      <c r="AW298" t="s">
        <v>124</v>
      </c>
    </row>
    <row r="299" spans="1:49">
      <c r="A299" s="9">
        <v>298</v>
      </c>
      <c r="B299" s="9" t="s">
        <v>238</v>
      </c>
      <c r="C299" s="10">
        <v>9146095697</v>
      </c>
      <c r="D299" s="9" t="s">
        <v>280</v>
      </c>
      <c r="E299" s="9">
        <f>COUNTIF($C$1:C299,C299)</f>
        <v>5</v>
      </c>
      <c r="F299" s="9" t="str">
        <f t="shared" si="68"/>
        <v>91460956975</v>
      </c>
      <c r="G299" s="9">
        <f t="shared" si="70"/>
        <v>0</v>
      </c>
      <c r="H299" s="9">
        <f t="shared" si="69"/>
        <v>1</v>
      </c>
      <c r="I299"/>
      <c r="AV299">
        <v>298</v>
      </c>
      <c r="AW299" t="s">
        <v>196</v>
      </c>
    </row>
    <row r="300" spans="1:49">
      <c r="A300" s="9">
        <v>299</v>
      </c>
      <c r="B300" s="9" t="s">
        <v>197</v>
      </c>
      <c r="C300" s="10">
        <v>2035229488</v>
      </c>
      <c r="D300" s="9" t="s">
        <v>280</v>
      </c>
      <c r="E300" s="9">
        <f>COUNTIF($C$1:C300,C300)</f>
        <v>2</v>
      </c>
      <c r="F300" s="9" t="str">
        <f t="shared" si="68"/>
        <v>20352294882</v>
      </c>
      <c r="G300" s="9">
        <f t="shared" si="70"/>
        <v>0</v>
      </c>
      <c r="H300" s="9">
        <f t="shared" si="69"/>
        <v>0</v>
      </c>
      <c r="I300"/>
      <c r="AV300">
        <v>299</v>
      </c>
      <c r="AW300" t="s">
        <v>197</v>
      </c>
    </row>
    <row r="301" spans="1:49">
      <c r="A301" s="9">
        <v>300</v>
      </c>
      <c r="B301" s="9" t="s">
        <v>198</v>
      </c>
      <c r="C301" s="10"/>
      <c r="D301" s="9"/>
      <c r="E301" s="9">
        <f>COUNTIF($C$1:C301,C301)</f>
        <v>0</v>
      </c>
      <c r="F301" s="9" t="str">
        <f t="shared" si="68"/>
        <v>0</v>
      </c>
      <c r="G301" s="9">
        <f t="shared" si="70"/>
        <v>0</v>
      </c>
      <c r="H301" s="9">
        <f t="shared" si="69"/>
        <v>0</v>
      </c>
      <c r="I301"/>
      <c r="AV301">
        <v>300</v>
      </c>
      <c r="AW301" t="s">
        <v>198</v>
      </c>
    </row>
    <row r="302" spans="1:49">
      <c r="A302" s="9">
        <v>301</v>
      </c>
      <c r="B302" s="9"/>
      <c r="C302" s="10"/>
      <c r="D302" s="9"/>
      <c r="E302" s="9">
        <f>COUNTIF($C$1:C302,C302)</f>
        <v>0</v>
      </c>
      <c r="F302" s="9" t="str">
        <f t="shared" si="68"/>
        <v>0</v>
      </c>
      <c r="G302" s="9">
        <f t="shared" si="70"/>
        <v>0</v>
      </c>
      <c r="H302" s="9">
        <f t="shared" si="69"/>
        <v>0</v>
      </c>
      <c r="I302"/>
      <c r="AV302">
        <v>301</v>
      </c>
    </row>
    <row r="303" spans="1:49">
      <c r="A303" s="9">
        <v>302</v>
      </c>
      <c r="B303" s="9"/>
      <c r="C303" s="10"/>
      <c r="D303" s="9"/>
      <c r="E303" s="9">
        <f>COUNTIF($C$1:C303,C303)</f>
        <v>0</v>
      </c>
      <c r="F303" s="9" t="str">
        <f t="shared" si="68"/>
        <v>0</v>
      </c>
      <c r="G303" s="9">
        <f t="shared" si="70"/>
        <v>0</v>
      </c>
      <c r="H303" s="9">
        <f t="shared" si="69"/>
        <v>0</v>
      </c>
      <c r="I303"/>
      <c r="AV303">
        <v>302</v>
      </c>
    </row>
    <row r="304" spans="1:49">
      <c r="A304" s="9">
        <v>303</v>
      </c>
      <c r="B304" s="9" t="s">
        <v>199</v>
      </c>
      <c r="C304" s="10"/>
      <c r="D304" s="9"/>
      <c r="E304" s="9">
        <f>COUNTIF($C$1:C304,C304)</f>
        <v>0</v>
      </c>
      <c r="F304" s="9" t="str">
        <f t="shared" si="68"/>
        <v>0</v>
      </c>
      <c r="G304" s="9">
        <f t="shared" si="70"/>
        <v>0</v>
      </c>
      <c r="H304" s="9">
        <f t="shared" si="69"/>
        <v>0</v>
      </c>
      <c r="I304"/>
      <c r="AV304">
        <v>303</v>
      </c>
      <c r="AW304" t="s">
        <v>199</v>
      </c>
    </row>
    <row r="305" spans="1:49">
      <c r="A305" s="9">
        <v>304</v>
      </c>
      <c r="B305" s="9" t="s">
        <v>200</v>
      </c>
      <c r="C305" s="10">
        <v>2039123543</v>
      </c>
      <c r="D305" s="9" t="s">
        <v>280</v>
      </c>
      <c r="E305" s="9">
        <f>COUNTIF($C$1:C305,C305)</f>
        <v>2</v>
      </c>
      <c r="F305" s="9" t="str">
        <f t="shared" si="68"/>
        <v>20391235432</v>
      </c>
      <c r="G305" s="9">
        <f t="shared" si="70"/>
        <v>0</v>
      </c>
      <c r="H305" s="9">
        <f t="shared" si="69"/>
        <v>0</v>
      </c>
      <c r="I305"/>
      <c r="AV305">
        <v>304</v>
      </c>
      <c r="AW305" t="s">
        <v>200</v>
      </c>
    </row>
    <row r="306" spans="1:49">
      <c r="A306" s="9">
        <v>305</v>
      </c>
      <c r="B306" s="9"/>
      <c r="C306" s="10"/>
      <c r="D306" s="9"/>
      <c r="E306" s="9">
        <f>COUNTIF($C$1:C306,C306)</f>
        <v>0</v>
      </c>
      <c r="F306" s="9" t="str">
        <f t="shared" si="68"/>
        <v>0</v>
      </c>
      <c r="G306" s="9">
        <f t="shared" si="70"/>
        <v>0</v>
      </c>
      <c r="H306" s="9">
        <f t="shared" si="69"/>
        <v>0</v>
      </c>
      <c r="I306"/>
      <c r="AV306">
        <v>305</v>
      </c>
    </row>
    <row r="307" spans="1:49">
      <c r="A307" s="9">
        <v>306</v>
      </c>
      <c r="B307" s="9"/>
      <c r="C307" s="10"/>
      <c r="D307" s="9"/>
      <c r="E307" s="9">
        <f>COUNTIF($C$1:C307,C307)</f>
        <v>0</v>
      </c>
      <c r="F307" s="9" t="str">
        <f t="shared" si="68"/>
        <v>0</v>
      </c>
      <c r="G307" s="9">
        <f t="shared" si="70"/>
        <v>0</v>
      </c>
      <c r="H307" s="9">
        <f t="shared" si="69"/>
        <v>0</v>
      </c>
      <c r="I307"/>
      <c r="AV307">
        <v>306</v>
      </c>
    </row>
    <row r="308" spans="1:49">
      <c r="A308" s="9">
        <v>307</v>
      </c>
      <c r="B308" s="9" t="s">
        <v>156</v>
      </c>
      <c r="C308" s="10">
        <v>9142270568</v>
      </c>
      <c r="D308" s="9" t="s">
        <v>280</v>
      </c>
      <c r="E308" s="9">
        <f>COUNTIF($C$1:C308,C308)</f>
        <v>4</v>
      </c>
      <c r="F308" s="9" t="str">
        <f t="shared" si="68"/>
        <v>91422705684</v>
      </c>
      <c r="G308" s="9">
        <f t="shared" si="70"/>
        <v>0</v>
      </c>
      <c r="H308" s="9">
        <f t="shared" si="69"/>
        <v>0</v>
      </c>
      <c r="I308"/>
      <c r="AV308">
        <v>307</v>
      </c>
      <c r="AW308" t="s">
        <v>156</v>
      </c>
    </row>
    <row r="309" spans="1:49">
      <c r="A309" s="9">
        <v>308</v>
      </c>
      <c r="B309" s="9"/>
      <c r="C309" s="10"/>
      <c r="D309" s="9"/>
      <c r="E309" s="9">
        <f>COUNTIF($C$1:C309,C309)</f>
        <v>0</v>
      </c>
      <c r="F309" s="9" t="str">
        <f t="shared" si="68"/>
        <v>0</v>
      </c>
      <c r="G309" s="9">
        <f t="shared" si="70"/>
        <v>0</v>
      </c>
      <c r="H309" s="9">
        <f t="shared" si="69"/>
        <v>0</v>
      </c>
      <c r="I309"/>
      <c r="AV309">
        <v>308</v>
      </c>
    </row>
    <row r="310" spans="1:49">
      <c r="A310" s="9">
        <v>309</v>
      </c>
      <c r="B310" s="9" t="s">
        <v>201</v>
      </c>
      <c r="C310" s="10">
        <v>8455279933</v>
      </c>
      <c r="D310" s="9" t="s">
        <v>280</v>
      </c>
      <c r="E310" s="9">
        <f>COUNTIF($C$1:C310,C310)</f>
        <v>4</v>
      </c>
      <c r="F310" s="9" t="str">
        <f t="shared" si="68"/>
        <v>84552799334</v>
      </c>
      <c r="G310" s="9">
        <f t="shared" si="70"/>
        <v>0</v>
      </c>
      <c r="H310" s="9">
        <f t="shared" si="69"/>
        <v>0</v>
      </c>
      <c r="I310"/>
      <c r="AV310">
        <v>309</v>
      </c>
      <c r="AW310" t="s">
        <v>201</v>
      </c>
    </row>
    <row r="311" spans="1:49">
      <c r="A311" s="9">
        <v>310</v>
      </c>
      <c r="B311" s="9"/>
      <c r="C311" s="10"/>
      <c r="D311" s="9"/>
      <c r="E311" s="9">
        <f>COUNTIF($C$1:C311,C311)</f>
        <v>0</v>
      </c>
      <c r="F311" s="9" t="str">
        <f t="shared" si="68"/>
        <v>0</v>
      </c>
      <c r="G311" s="9">
        <f t="shared" si="70"/>
        <v>0</v>
      </c>
      <c r="H311" s="9">
        <f t="shared" si="69"/>
        <v>0</v>
      </c>
      <c r="I311"/>
      <c r="AV311">
        <v>310</v>
      </c>
    </row>
    <row r="312" spans="1:49">
      <c r="A312" s="9">
        <v>311</v>
      </c>
      <c r="B312" s="9" t="s">
        <v>202</v>
      </c>
      <c r="C312" s="10"/>
      <c r="D312" s="9"/>
      <c r="E312" s="9">
        <f>COUNTIF($C$1:C312,C312)</f>
        <v>0</v>
      </c>
      <c r="F312" s="9" t="str">
        <f t="shared" si="68"/>
        <v>0</v>
      </c>
      <c r="G312" s="9">
        <f t="shared" si="70"/>
        <v>0</v>
      </c>
      <c r="H312" s="9">
        <f t="shared" si="69"/>
        <v>0</v>
      </c>
      <c r="I312"/>
      <c r="AV312">
        <v>311</v>
      </c>
      <c r="AW312" t="s">
        <v>202</v>
      </c>
    </row>
    <row r="313" spans="1:49">
      <c r="A313" s="9">
        <v>312</v>
      </c>
      <c r="B313" s="9"/>
      <c r="C313" s="10"/>
      <c r="D313" s="9"/>
      <c r="E313" s="9">
        <f>COUNTIF($C$1:C313,C313)</f>
        <v>0</v>
      </c>
      <c r="F313" s="9" t="str">
        <f t="shared" si="68"/>
        <v>0</v>
      </c>
      <c r="G313" s="9">
        <f t="shared" si="70"/>
        <v>0</v>
      </c>
      <c r="H313" s="9">
        <f t="shared" si="69"/>
        <v>0</v>
      </c>
      <c r="I313"/>
      <c r="AV313">
        <v>312</v>
      </c>
    </row>
    <row r="314" spans="1:49">
      <c r="A314" s="9">
        <v>313</v>
      </c>
      <c r="B314" s="9" t="s">
        <v>203</v>
      </c>
      <c r="C314" s="10"/>
      <c r="D314" s="9"/>
      <c r="E314" s="9">
        <f>COUNTIF($C$1:C314,C314)</f>
        <v>0</v>
      </c>
      <c r="F314" s="9" t="str">
        <f t="shared" si="68"/>
        <v>0</v>
      </c>
      <c r="G314" s="9">
        <f t="shared" si="70"/>
        <v>0</v>
      </c>
      <c r="H314" s="9">
        <f t="shared" si="69"/>
        <v>0</v>
      </c>
      <c r="I314"/>
      <c r="AV314">
        <v>313</v>
      </c>
      <c r="AW314" t="s">
        <v>203</v>
      </c>
    </row>
    <row r="315" spans="1:49">
      <c r="A315" s="9">
        <v>314</v>
      </c>
      <c r="B315" s="9"/>
      <c r="C315" s="10"/>
      <c r="D315" s="9"/>
      <c r="E315" s="9">
        <f>COUNTIF($C$1:C315,C315)</f>
        <v>0</v>
      </c>
      <c r="F315" s="9" t="str">
        <f t="shared" si="68"/>
        <v>0</v>
      </c>
      <c r="G315" s="9">
        <f t="shared" si="70"/>
        <v>0</v>
      </c>
      <c r="H315" s="9">
        <f t="shared" si="69"/>
        <v>0</v>
      </c>
      <c r="I315"/>
      <c r="AV315">
        <v>314</v>
      </c>
    </row>
    <row r="316" spans="1:49">
      <c r="A316" s="9">
        <v>315</v>
      </c>
      <c r="B316" s="9"/>
      <c r="C316" s="10"/>
      <c r="D316" s="9"/>
      <c r="E316" s="9">
        <f>COUNTIF($C$1:C316,C316)</f>
        <v>0</v>
      </c>
      <c r="F316" s="9" t="str">
        <f t="shared" si="68"/>
        <v>0</v>
      </c>
      <c r="G316" s="9">
        <f t="shared" si="70"/>
        <v>0</v>
      </c>
      <c r="H316" s="9">
        <f t="shared" si="69"/>
        <v>0</v>
      </c>
      <c r="I316"/>
      <c r="AV316">
        <v>315</v>
      </c>
    </row>
    <row r="317" spans="1:49">
      <c r="A317" s="9">
        <v>316</v>
      </c>
      <c r="B317" s="9" t="s">
        <v>204</v>
      </c>
      <c r="C317" s="10">
        <v>2035221446</v>
      </c>
      <c r="D317" s="9" t="s">
        <v>280</v>
      </c>
      <c r="E317" s="9">
        <f>COUNTIF($C$1:C317,C317)</f>
        <v>1</v>
      </c>
      <c r="F317" s="9" t="str">
        <f t="shared" si="68"/>
        <v>20352214461</v>
      </c>
      <c r="G317" s="9">
        <f t="shared" si="70"/>
        <v>0</v>
      </c>
      <c r="H317" s="9">
        <f t="shared" si="69"/>
        <v>0</v>
      </c>
      <c r="I317"/>
      <c r="AV317">
        <v>316</v>
      </c>
      <c r="AW317" t="s">
        <v>204</v>
      </c>
    </row>
    <row r="318" spans="1:49">
      <c r="A318" s="9">
        <v>317</v>
      </c>
      <c r="B318" s="9" t="s">
        <v>205</v>
      </c>
      <c r="C318" s="10">
        <v>9145653559</v>
      </c>
      <c r="D318" s="9" t="s">
        <v>280</v>
      </c>
      <c r="E318" s="9">
        <f>COUNTIF($C$1:C318,C318)</f>
        <v>1</v>
      </c>
      <c r="F318" s="9" t="str">
        <f t="shared" si="68"/>
        <v>91456535591</v>
      </c>
      <c r="G318" s="9">
        <f t="shared" si="70"/>
        <v>0</v>
      </c>
      <c r="H318" s="9">
        <f t="shared" si="69"/>
        <v>0</v>
      </c>
      <c r="I318"/>
      <c r="AV318">
        <v>317</v>
      </c>
      <c r="AW318" t="s">
        <v>205</v>
      </c>
    </row>
    <row r="319" spans="1:49">
      <c r="A319" s="9">
        <v>318</v>
      </c>
      <c r="B319" s="9" t="s">
        <v>206</v>
      </c>
      <c r="C319" s="10">
        <v>2038209096</v>
      </c>
      <c r="D319" s="9" t="s">
        <v>290</v>
      </c>
      <c r="E319" s="9">
        <f>COUNTIF($C$1:C319,C319)</f>
        <v>3</v>
      </c>
      <c r="F319" s="9" t="str">
        <f t="shared" si="68"/>
        <v>20382090963</v>
      </c>
      <c r="G319" s="9">
        <f t="shared" si="70"/>
        <v>0</v>
      </c>
      <c r="H319" s="9">
        <f t="shared" si="69"/>
        <v>0</v>
      </c>
      <c r="I319"/>
      <c r="AV319">
        <v>318</v>
      </c>
      <c r="AW319" t="s">
        <v>206</v>
      </c>
    </row>
    <row r="320" spans="1:49">
      <c r="A320" s="9">
        <v>319</v>
      </c>
      <c r="B320" s="9"/>
      <c r="C320" s="10"/>
      <c r="D320" s="9"/>
      <c r="E320" s="9">
        <f>COUNTIF($C$1:C320,C320)</f>
        <v>0</v>
      </c>
      <c r="F320" s="9" t="str">
        <f t="shared" si="68"/>
        <v>0</v>
      </c>
      <c r="G320" s="9">
        <f t="shared" si="70"/>
        <v>0</v>
      </c>
      <c r="H320" s="9">
        <f t="shared" si="69"/>
        <v>0</v>
      </c>
      <c r="I320"/>
      <c r="AV320">
        <v>319</v>
      </c>
    </row>
    <row r="321" spans="1:49">
      <c r="A321" s="9">
        <v>320</v>
      </c>
      <c r="B321" s="9"/>
      <c r="C321" s="10"/>
      <c r="D321" s="9"/>
      <c r="E321" s="9">
        <f>COUNTIF($C$1:C321,C321)</f>
        <v>0</v>
      </c>
      <c r="F321" s="9" t="str">
        <f t="shared" si="68"/>
        <v>0</v>
      </c>
      <c r="G321" s="9">
        <f t="shared" si="70"/>
        <v>0</v>
      </c>
      <c r="H321" s="9">
        <f t="shared" si="69"/>
        <v>0</v>
      </c>
      <c r="I321"/>
      <c r="AV321">
        <v>320</v>
      </c>
    </row>
    <row r="322" spans="1:49">
      <c r="A322" s="9">
        <v>321</v>
      </c>
      <c r="B322" s="9" t="s">
        <v>207</v>
      </c>
      <c r="C322" s="10">
        <v>9145656406</v>
      </c>
      <c r="D322" s="9" t="s">
        <v>280</v>
      </c>
      <c r="E322" s="9">
        <f>COUNTIF($C$1:C322,C322)</f>
        <v>1</v>
      </c>
      <c r="F322" s="9" t="str">
        <f t="shared" si="68"/>
        <v>91456564061</v>
      </c>
      <c r="G322" s="9">
        <f t="shared" si="70"/>
        <v>0</v>
      </c>
      <c r="H322" s="9">
        <f t="shared" si="69"/>
        <v>0</v>
      </c>
      <c r="I322"/>
      <c r="AV322">
        <v>321</v>
      </c>
      <c r="AW322" t="s">
        <v>207</v>
      </c>
    </row>
    <row r="323" spans="1:49">
      <c r="A323" s="9">
        <v>322</v>
      </c>
      <c r="B323" s="9"/>
      <c r="C323" s="10"/>
      <c r="D323" s="9"/>
      <c r="E323" s="9">
        <f>COUNTIF($C$1:C323,C323)</f>
        <v>0</v>
      </c>
      <c r="F323" s="9" t="str">
        <f t="shared" ref="F323:F386" si="71">C323&amp;E323</f>
        <v>0</v>
      </c>
      <c r="G323" s="9">
        <f t="shared" si="70"/>
        <v>0</v>
      </c>
      <c r="H323" s="9">
        <f t="shared" ref="H323:H386" si="72">IF(IFERROR(FIND("free",LOWER(B323)),0)=0,0,1)</f>
        <v>0</v>
      </c>
      <c r="I323"/>
      <c r="AV323">
        <v>322</v>
      </c>
    </row>
    <row r="324" spans="1:49">
      <c r="A324" s="9">
        <v>323</v>
      </c>
      <c r="B324" s="9" t="s">
        <v>78</v>
      </c>
      <c r="C324" s="10"/>
      <c r="D324" s="9"/>
      <c r="E324" s="9">
        <f>COUNTIF($C$1:C324,C324)</f>
        <v>0</v>
      </c>
      <c r="F324" s="9" t="str">
        <f t="shared" si="71"/>
        <v>0</v>
      </c>
      <c r="G324" s="9">
        <f t="shared" ref="G324:G387" si="73">IF(IFERROR(FIND("pg",LOWER(B324)),0)=0,0,1)</f>
        <v>0</v>
      </c>
      <c r="H324" s="9">
        <f t="shared" si="72"/>
        <v>0</v>
      </c>
      <c r="I324"/>
      <c r="AV324">
        <v>323</v>
      </c>
      <c r="AW324" t="s">
        <v>78</v>
      </c>
    </row>
    <row r="325" spans="1:49">
      <c r="A325" s="9">
        <v>324</v>
      </c>
      <c r="B325" s="9"/>
      <c r="C325" s="10"/>
      <c r="D325" s="9"/>
      <c r="E325" s="9">
        <f>COUNTIF($C$1:C325,C325)</f>
        <v>0</v>
      </c>
      <c r="F325" s="9" t="str">
        <f t="shared" si="71"/>
        <v>0</v>
      </c>
      <c r="G325" s="9">
        <f t="shared" si="73"/>
        <v>0</v>
      </c>
      <c r="H325" s="9">
        <f t="shared" si="72"/>
        <v>0</v>
      </c>
      <c r="I325"/>
      <c r="AV325">
        <v>324</v>
      </c>
    </row>
    <row r="326" spans="1:49">
      <c r="A326" s="9">
        <v>325</v>
      </c>
      <c r="B326" s="9" t="s">
        <v>208</v>
      </c>
      <c r="C326" s="10"/>
      <c r="D326" s="9"/>
      <c r="E326" s="9">
        <f>COUNTIF($C$1:C326,C326)</f>
        <v>0</v>
      </c>
      <c r="F326" s="9" t="str">
        <f t="shared" si="71"/>
        <v>0</v>
      </c>
      <c r="G326" s="9">
        <f t="shared" si="73"/>
        <v>0</v>
      </c>
      <c r="H326" s="9">
        <f t="shared" si="72"/>
        <v>0</v>
      </c>
      <c r="I326"/>
      <c r="AV326">
        <v>325</v>
      </c>
      <c r="AW326" t="s">
        <v>208</v>
      </c>
    </row>
    <row r="327" spans="1:49">
      <c r="A327" s="9">
        <v>326</v>
      </c>
      <c r="B327" s="9"/>
      <c r="C327" s="10"/>
      <c r="D327" s="9"/>
      <c r="E327" s="9">
        <f>COUNTIF($C$1:C327,C327)</f>
        <v>0</v>
      </c>
      <c r="F327" s="9" t="str">
        <f t="shared" si="71"/>
        <v>0</v>
      </c>
      <c r="G327" s="9">
        <f t="shared" si="73"/>
        <v>0</v>
      </c>
      <c r="H327" s="9">
        <f t="shared" si="72"/>
        <v>0</v>
      </c>
      <c r="I327"/>
      <c r="AV327">
        <v>326</v>
      </c>
    </row>
    <row r="328" spans="1:49">
      <c r="A328" s="9">
        <v>327</v>
      </c>
      <c r="B328" s="9" t="s">
        <v>209</v>
      </c>
      <c r="C328" s="10">
        <v>5042666286</v>
      </c>
      <c r="D328" s="9" t="s">
        <v>280</v>
      </c>
      <c r="E328" s="9">
        <f>COUNTIF($C$1:C328,C328)</f>
        <v>1</v>
      </c>
      <c r="F328" s="9" t="str">
        <f t="shared" si="71"/>
        <v>50426662861</v>
      </c>
      <c r="G328" s="9">
        <f t="shared" si="73"/>
        <v>0</v>
      </c>
      <c r="H328" s="9">
        <f t="shared" si="72"/>
        <v>0</v>
      </c>
      <c r="I328"/>
      <c r="AV328">
        <v>327</v>
      </c>
      <c r="AW328" t="s">
        <v>209</v>
      </c>
    </row>
    <row r="329" spans="1:49">
      <c r="A329" s="9">
        <v>328</v>
      </c>
      <c r="B329" s="9" t="s">
        <v>210</v>
      </c>
      <c r="C329" s="10">
        <v>9148799779</v>
      </c>
      <c r="D329" s="9" t="s">
        <v>280</v>
      </c>
      <c r="E329" s="9">
        <f>COUNTIF($C$1:C329,C329)</f>
        <v>1</v>
      </c>
      <c r="F329" s="9" t="str">
        <f t="shared" si="71"/>
        <v>91487997791</v>
      </c>
      <c r="G329" s="9">
        <f t="shared" si="73"/>
        <v>0</v>
      </c>
      <c r="H329" s="9">
        <f t="shared" si="72"/>
        <v>1</v>
      </c>
      <c r="I329"/>
      <c r="AV329">
        <v>328</v>
      </c>
      <c r="AW329" t="s">
        <v>210</v>
      </c>
    </row>
    <row r="330" spans="1:49">
      <c r="A330" s="9">
        <v>329</v>
      </c>
      <c r="B330" s="9" t="s">
        <v>211</v>
      </c>
      <c r="C330" s="10">
        <v>9143190338</v>
      </c>
      <c r="D330" s="9" t="s">
        <v>280</v>
      </c>
      <c r="E330" s="9">
        <f>COUNTIF($C$1:C330,C330)</f>
        <v>2</v>
      </c>
      <c r="F330" s="9" t="str">
        <f t="shared" si="71"/>
        <v>91431903382</v>
      </c>
      <c r="G330" s="9">
        <f t="shared" si="73"/>
        <v>0</v>
      </c>
      <c r="H330" s="9">
        <f t="shared" si="72"/>
        <v>0</v>
      </c>
      <c r="I330"/>
      <c r="AV330">
        <v>329</v>
      </c>
      <c r="AW330" t="s">
        <v>211</v>
      </c>
    </row>
    <row r="331" spans="1:49">
      <c r="A331" s="9">
        <v>330</v>
      </c>
      <c r="B331" s="9" t="s">
        <v>212</v>
      </c>
      <c r="C331" s="10">
        <v>2035456583</v>
      </c>
      <c r="D331" s="9" t="s">
        <v>280</v>
      </c>
      <c r="E331" s="9">
        <f>COUNTIF($C$1:C331,C331)</f>
        <v>1</v>
      </c>
      <c r="F331" s="9" t="str">
        <f t="shared" si="71"/>
        <v>20354565831</v>
      </c>
      <c r="G331" s="9">
        <f t="shared" si="73"/>
        <v>1</v>
      </c>
      <c r="H331" s="9">
        <f t="shared" si="72"/>
        <v>0</v>
      </c>
      <c r="I331"/>
      <c r="AV331">
        <v>330</v>
      </c>
      <c r="AW331" t="s">
        <v>212</v>
      </c>
    </row>
    <row r="332" spans="1:49">
      <c r="A332" s="9">
        <v>331</v>
      </c>
      <c r="B332" s="9"/>
      <c r="C332" s="10"/>
      <c r="D332" s="9"/>
      <c r="E332" s="9">
        <f>COUNTIF($C$1:C332,C332)</f>
        <v>0</v>
      </c>
      <c r="F332" s="9" t="str">
        <f t="shared" si="71"/>
        <v>0</v>
      </c>
      <c r="G332" s="9">
        <f t="shared" si="73"/>
        <v>0</v>
      </c>
      <c r="H332" s="9">
        <f t="shared" si="72"/>
        <v>0</v>
      </c>
      <c r="I332"/>
      <c r="AV332">
        <v>331</v>
      </c>
    </row>
    <row r="333" spans="1:49">
      <c r="A333" s="9">
        <v>332</v>
      </c>
      <c r="B333" s="9" t="s">
        <v>213</v>
      </c>
      <c r="C333" s="10">
        <v>2039812008</v>
      </c>
      <c r="D333" s="9" t="s">
        <v>280</v>
      </c>
      <c r="E333" s="9">
        <f>COUNTIF($C$1:C333,C333)</f>
        <v>1</v>
      </c>
      <c r="F333" s="9" t="str">
        <f t="shared" si="71"/>
        <v>20398120081</v>
      </c>
      <c r="G333" s="9">
        <f t="shared" si="73"/>
        <v>0</v>
      </c>
      <c r="H333" s="9">
        <f t="shared" si="72"/>
        <v>0</v>
      </c>
      <c r="I333"/>
      <c r="AV333">
        <v>332</v>
      </c>
      <c r="AW333" t="s">
        <v>213</v>
      </c>
    </row>
    <row r="334" spans="1:49">
      <c r="A334" s="9">
        <v>333</v>
      </c>
      <c r="B334" s="9" t="s">
        <v>214</v>
      </c>
      <c r="C334" s="10">
        <v>2035450805</v>
      </c>
      <c r="D334" s="9" t="s">
        <v>280</v>
      </c>
      <c r="E334" s="9">
        <f>COUNTIF($C$1:C334,C334)</f>
        <v>1</v>
      </c>
      <c r="F334" s="9" t="str">
        <f t="shared" si="71"/>
        <v>20354508051</v>
      </c>
      <c r="G334" s="9">
        <f t="shared" si="73"/>
        <v>0</v>
      </c>
      <c r="H334" s="9">
        <f t="shared" si="72"/>
        <v>0</v>
      </c>
      <c r="I334"/>
      <c r="AV334">
        <v>333</v>
      </c>
      <c r="AW334" t="s">
        <v>214</v>
      </c>
    </row>
    <row r="335" spans="1:49">
      <c r="A335" s="9">
        <v>334</v>
      </c>
      <c r="B335" s="9" t="s">
        <v>215</v>
      </c>
      <c r="C335" s="10">
        <v>8455279933</v>
      </c>
      <c r="D335" s="9" t="s">
        <v>280</v>
      </c>
      <c r="E335" s="9">
        <f>COUNTIF($C$1:C335,C335)</f>
        <v>5</v>
      </c>
      <c r="F335" s="9" t="str">
        <f t="shared" si="71"/>
        <v>84552799335</v>
      </c>
      <c r="G335" s="9">
        <f t="shared" si="73"/>
        <v>0</v>
      </c>
      <c r="H335" s="9">
        <f t="shared" si="72"/>
        <v>0</v>
      </c>
      <c r="I335"/>
      <c r="AV335">
        <v>334</v>
      </c>
      <c r="AW335" t="s">
        <v>215</v>
      </c>
    </row>
    <row r="336" spans="1:49">
      <c r="A336" s="9">
        <v>335</v>
      </c>
      <c r="B336" s="9"/>
      <c r="C336" s="10"/>
      <c r="D336" s="9"/>
      <c r="E336" s="9">
        <f>COUNTIF($C$1:C336,C336)</f>
        <v>0</v>
      </c>
      <c r="F336" s="9" t="str">
        <f t="shared" si="71"/>
        <v>0</v>
      </c>
      <c r="G336" s="9">
        <f t="shared" si="73"/>
        <v>0</v>
      </c>
      <c r="H336" s="9">
        <f t="shared" si="72"/>
        <v>0</v>
      </c>
      <c r="I336"/>
      <c r="AV336">
        <v>335</v>
      </c>
    </row>
    <row r="337" spans="1:49">
      <c r="A337" s="9">
        <v>336</v>
      </c>
      <c r="B337" s="9"/>
      <c r="C337" s="10"/>
      <c r="D337" s="9"/>
      <c r="E337" s="9">
        <f>COUNTIF($C$1:C337,C337)</f>
        <v>0</v>
      </c>
      <c r="F337" s="9" t="str">
        <f t="shared" si="71"/>
        <v>0</v>
      </c>
      <c r="G337" s="9">
        <f t="shared" si="73"/>
        <v>0</v>
      </c>
      <c r="H337" s="9">
        <f t="shared" si="72"/>
        <v>0</v>
      </c>
      <c r="I337"/>
      <c r="AV337">
        <v>336</v>
      </c>
    </row>
    <row r="338" spans="1:49">
      <c r="A338" s="9">
        <v>337</v>
      </c>
      <c r="B338" s="9"/>
      <c r="C338" s="10"/>
      <c r="D338" s="9"/>
      <c r="E338" s="9">
        <f>COUNTIF($C$1:C338,C338)</f>
        <v>0</v>
      </c>
      <c r="F338" s="9" t="str">
        <f t="shared" si="71"/>
        <v>0</v>
      </c>
      <c r="G338" s="9">
        <f t="shared" si="73"/>
        <v>0</v>
      </c>
      <c r="H338" s="9">
        <f t="shared" si="72"/>
        <v>0</v>
      </c>
      <c r="I338"/>
      <c r="AV338">
        <v>337</v>
      </c>
    </row>
    <row r="339" spans="1:49">
      <c r="A339" s="9">
        <v>338</v>
      </c>
      <c r="B339" s="9" t="s">
        <v>180</v>
      </c>
      <c r="C339" s="10">
        <v>9146203904</v>
      </c>
      <c r="D339" s="9" t="s">
        <v>280</v>
      </c>
      <c r="E339" s="9">
        <f>COUNTIF($C$1:C339,C339)</f>
        <v>2</v>
      </c>
      <c r="F339" s="9" t="str">
        <f t="shared" si="71"/>
        <v>91462039042</v>
      </c>
      <c r="G339" s="9">
        <f t="shared" si="73"/>
        <v>0</v>
      </c>
      <c r="H339" s="9">
        <f t="shared" si="72"/>
        <v>0</v>
      </c>
      <c r="I339"/>
      <c r="AV339">
        <v>338</v>
      </c>
      <c r="AW339" t="s">
        <v>180</v>
      </c>
    </row>
    <row r="340" spans="1:49">
      <c r="A340" s="9">
        <v>339</v>
      </c>
      <c r="B340" s="9" t="s">
        <v>216</v>
      </c>
      <c r="C340" s="10">
        <v>4754194333</v>
      </c>
      <c r="D340" s="9" t="s">
        <v>280</v>
      </c>
      <c r="E340" s="9">
        <f>COUNTIF($C$1:C340,C340)</f>
        <v>2</v>
      </c>
      <c r="F340" s="9" t="str">
        <f t="shared" si="71"/>
        <v>47541943332</v>
      </c>
      <c r="G340" s="9">
        <f t="shared" si="73"/>
        <v>0</v>
      </c>
      <c r="H340" s="9">
        <f t="shared" si="72"/>
        <v>0</v>
      </c>
      <c r="I340"/>
      <c r="AV340">
        <v>339</v>
      </c>
      <c r="AW340" t="s">
        <v>216</v>
      </c>
    </row>
    <row r="341" spans="1:49">
      <c r="A341" s="9">
        <v>340</v>
      </c>
      <c r="B341" s="9"/>
      <c r="C341" s="10"/>
      <c r="D341" s="9"/>
      <c r="E341" s="9">
        <f>COUNTIF($C$1:C341,C341)</f>
        <v>0</v>
      </c>
      <c r="F341" s="9" t="str">
        <f t="shared" si="71"/>
        <v>0</v>
      </c>
      <c r="G341" s="9">
        <f t="shared" si="73"/>
        <v>0</v>
      </c>
      <c r="H341" s="9">
        <f t="shared" si="72"/>
        <v>0</v>
      </c>
      <c r="I341"/>
      <c r="AV341">
        <v>340</v>
      </c>
    </row>
    <row r="342" spans="1:49">
      <c r="A342" s="9">
        <v>341</v>
      </c>
      <c r="B342" s="9"/>
      <c r="C342" s="10"/>
      <c r="D342" s="9"/>
      <c r="E342" s="9">
        <f>COUNTIF($C$1:C342,C342)</f>
        <v>0</v>
      </c>
      <c r="F342" s="9" t="str">
        <f t="shared" si="71"/>
        <v>0</v>
      </c>
      <c r="G342" s="9">
        <f t="shared" si="73"/>
        <v>0</v>
      </c>
      <c r="H342" s="9">
        <f t="shared" si="72"/>
        <v>0</v>
      </c>
      <c r="I342"/>
      <c r="AV342">
        <v>341</v>
      </c>
    </row>
    <row r="343" spans="1:49">
      <c r="A343" s="9">
        <v>342</v>
      </c>
      <c r="B343" s="9" t="s">
        <v>217</v>
      </c>
      <c r="C343" s="10">
        <v>9144904255</v>
      </c>
      <c r="D343" s="9" t="s">
        <v>280</v>
      </c>
      <c r="E343" s="9">
        <f>COUNTIF($C$1:C343,C343)</f>
        <v>3</v>
      </c>
      <c r="F343" s="9" t="str">
        <f t="shared" si="71"/>
        <v>91449042553</v>
      </c>
      <c r="G343" s="9">
        <f t="shared" si="73"/>
        <v>1</v>
      </c>
      <c r="H343" s="9">
        <f t="shared" si="72"/>
        <v>0</v>
      </c>
      <c r="I343"/>
      <c r="AV343">
        <v>342</v>
      </c>
      <c r="AW343" t="s">
        <v>217</v>
      </c>
    </row>
    <row r="344" spans="1:49">
      <c r="A344" s="9">
        <v>343</v>
      </c>
      <c r="B344" s="9"/>
      <c r="C344" s="10"/>
      <c r="D344" s="9"/>
      <c r="E344" s="9">
        <f>COUNTIF($C$1:C344,C344)</f>
        <v>0</v>
      </c>
      <c r="F344" s="9" t="str">
        <f t="shared" si="71"/>
        <v>0</v>
      </c>
      <c r="G344" s="9">
        <f t="shared" si="73"/>
        <v>0</v>
      </c>
      <c r="H344" s="9">
        <f t="shared" si="72"/>
        <v>0</v>
      </c>
      <c r="I344"/>
      <c r="AV344">
        <v>343</v>
      </c>
    </row>
    <row r="345" spans="1:49">
      <c r="A345" s="9">
        <v>344</v>
      </c>
      <c r="B345" s="9"/>
      <c r="C345" s="10"/>
      <c r="D345" s="9"/>
      <c r="E345" s="9">
        <f>COUNTIF($C$1:C345,C345)</f>
        <v>0</v>
      </c>
      <c r="F345" s="9" t="str">
        <f t="shared" si="71"/>
        <v>0</v>
      </c>
      <c r="G345" s="9">
        <f t="shared" si="73"/>
        <v>0</v>
      </c>
      <c r="H345" s="9">
        <f t="shared" si="72"/>
        <v>0</v>
      </c>
      <c r="I345"/>
      <c r="AV345">
        <v>344</v>
      </c>
    </row>
    <row r="346" spans="1:49">
      <c r="A346" s="9">
        <v>345</v>
      </c>
      <c r="B346" s="9" t="s">
        <v>314</v>
      </c>
      <c r="C346" s="10">
        <v>4752390719</v>
      </c>
      <c r="D346" s="9" t="s">
        <v>280</v>
      </c>
      <c r="E346" s="9">
        <f>COUNTIF($C$1:C346,C346)</f>
        <v>1</v>
      </c>
      <c r="F346" s="9" t="str">
        <f t="shared" si="71"/>
        <v>47523907191</v>
      </c>
      <c r="G346" s="9">
        <f t="shared" si="73"/>
        <v>0</v>
      </c>
      <c r="H346" s="9">
        <f t="shared" si="72"/>
        <v>0</v>
      </c>
      <c r="I346"/>
      <c r="AV346">
        <v>345</v>
      </c>
      <c r="AW346" t="s">
        <v>218</v>
      </c>
    </row>
    <row r="347" spans="1:49">
      <c r="A347" s="9">
        <v>346</v>
      </c>
      <c r="B347" s="9" t="s">
        <v>162</v>
      </c>
      <c r="C347" s="10">
        <v>9143560756</v>
      </c>
      <c r="D347" s="9" t="s">
        <v>280</v>
      </c>
      <c r="E347" s="9">
        <f>COUNTIF($C$1:C347,C347)</f>
        <v>2</v>
      </c>
      <c r="F347" s="9" t="str">
        <f t="shared" si="71"/>
        <v>91435607562</v>
      </c>
      <c r="G347" s="9">
        <f t="shared" si="73"/>
        <v>0</v>
      </c>
      <c r="H347" s="9">
        <f t="shared" si="72"/>
        <v>0</v>
      </c>
      <c r="I347"/>
      <c r="AV347">
        <v>346</v>
      </c>
      <c r="AW347" t="s">
        <v>162</v>
      </c>
    </row>
    <row r="348" spans="1:49">
      <c r="A348" s="9">
        <v>347</v>
      </c>
      <c r="B348" s="9" t="s">
        <v>219</v>
      </c>
      <c r="C348" s="10"/>
      <c r="D348" s="9"/>
      <c r="E348" s="9">
        <f>COUNTIF($C$1:C348,C348)</f>
        <v>0</v>
      </c>
      <c r="F348" s="9" t="str">
        <f t="shared" si="71"/>
        <v>0</v>
      </c>
      <c r="G348" s="9">
        <f t="shared" si="73"/>
        <v>0</v>
      </c>
      <c r="H348" s="9">
        <f t="shared" si="72"/>
        <v>0</v>
      </c>
      <c r="I348"/>
      <c r="AV348">
        <v>347</v>
      </c>
      <c r="AW348" t="s">
        <v>219</v>
      </c>
    </row>
    <row r="349" spans="1:49">
      <c r="A349" s="9">
        <v>348</v>
      </c>
      <c r="B349" s="9" t="s">
        <v>220</v>
      </c>
      <c r="C349" s="10">
        <v>9143544961</v>
      </c>
      <c r="D349" s="9" t="s">
        <v>280</v>
      </c>
      <c r="E349" s="9">
        <f>COUNTIF($C$1:C349,C349)</f>
        <v>1</v>
      </c>
      <c r="F349" s="9" t="str">
        <f t="shared" si="71"/>
        <v>91435449611</v>
      </c>
      <c r="G349" s="9">
        <f t="shared" si="73"/>
        <v>0</v>
      </c>
      <c r="H349" s="9">
        <f t="shared" si="72"/>
        <v>0</v>
      </c>
      <c r="I349"/>
      <c r="AV349">
        <v>348</v>
      </c>
      <c r="AW349" t="s">
        <v>220</v>
      </c>
    </row>
    <row r="350" spans="1:49">
      <c r="A350" s="9">
        <v>349</v>
      </c>
      <c r="B350" s="9" t="s">
        <v>221</v>
      </c>
      <c r="C350" s="10">
        <v>9144904255</v>
      </c>
      <c r="D350" s="9" t="s">
        <v>280</v>
      </c>
      <c r="E350" s="9">
        <f>COUNTIF($C$1:C350,C350)</f>
        <v>4</v>
      </c>
      <c r="F350" s="9" t="str">
        <f t="shared" si="71"/>
        <v>91449042554</v>
      </c>
      <c r="G350" s="9">
        <f t="shared" si="73"/>
        <v>0</v>
      </c>
      <c r="H350" s="9">
        <f t="shared" si="72"/>
        <v>0</v>
      </c>
      <c r="I350"/>
      <c r="AV350">
        <v>349</v>
      </c>
      <c r="AW350" t="s">
        <v>221</v>
      </c>
    </row>
    <row r="351" spans="1:49">
      <c r="A351" s="9">
        <v>350</v>
      </c>
      <c r="B351" s="9" t="s">
        <v>222</v>
      </c>
      <c r="C351" s="10">
        <v>9143569767</v>
      </c>
      <c r="D351" s="9" t="s">
        <v>280</v>
      </c>
      <c r="E351" s="9">
        <f>COUNTIF($C$1:C351,C351)</f>
        <v>2</v>
      </c>
      <c r="F351" s="9" t="str">
        <f t="shared" si="71"/>
        <v>91435697672</v>
      </c>
      <c r="G351" s="9">
        <f t="shared" si="73"/>
        <v>0</v>
      </c>
      <c r="H351" s="9">
        <f t="shared" si="72"/>
        <v>1</v>
      </c>
      <c r="I351"/>
      <c r="AV351">
        <v>350</v>
      </c>
      <c r="AW351" t="s">
        <v>222</v>
      </c>
    </row>
    <row r="352" spans="1:49">
      <c r="A352" s="9">
        <v>351</v>
      </c>
      <c r="B352" s="9" t="s">
        <v>318</v>
      </c>
      <c r="C352" s="10">
        <v>9148799779</v>
      </c>
      <c r="D352" s="9" t="s">
        <v>280</v>
      </c>
      <c r="E352" s="9">
        <f>COUNTIF($C$1:C352,C352)</f>
        <v>2</v>
      </c>
      <c r="F352" s="9" t="str">
        <f t="shared" si="71"/>
        <v>91487997792</v>
      </c>
      <c r="G352" s="9">
        <f t="shared" si="73"/>
        <v>1</v>
      </c>
      <c r="H352" s="9">
        <f t="shared" si="72"/>
        <v>0</v>
      </c>
      <c r="I352"/>
      <c r="AV352">
        <v>351</v>
      </c>
      <c r="AW352" t="s">
        <v>223</v>
      </c>
    </row>
    <row r="353" spans="1:49">
      <c r="A353" s="9">
        <v>352</v>
      </c>
      <c r="B353" s="9"/>
      <c r="C353" s="10"/>
      <c r="D353" s="9"/>
      <c r="E353" s="9">
        <f>COUNTIF($C$1:C353,C353)</f>
        <v>0</v>
      </c>
      <c r="F353" s="9" t="str">
        <f t="shared" si="71"/>
        <v>0</v>
      </c>
      <c r="G353" s="9">
        <f t="shared" si="73"/>
        <v>0</v>
      </c>
      <c r="H353" s="9">
        <f t="shared" si="72"/>
        <v>0</v>
      </c>
      <c r="I353"/>
      <c r="AV353">
        <v>352</v>
      </c>
    </row>
    <row r="354" spans="1:49">
      <c r="A354" s="9">
        <v>353</v>
      </c>
      <c r="B354" s="9"/>
      <c r="C354" s="10"/>
      <c r="D354" s="9"/>
      <c r="E354" s="9">
        <f>COUNTIF($C$1:C354,C354)</f>
        <v>0</v>
      </c>
      <c r="F354" s="9" t="str">
        <f t="shared" si="71"/>
        <v>0</v>
      </c>
      <c r="G354" s="9">
        <f t="shared" si="73"/>
        <v>0</v>
      </c>
      <c r="H354" s="9">
        <f t="shared" si="72"/>
        <v>0</v>
      </c>
      <c r="I354"/>
      <c r="AV354">
        <v>353</v>
      </c>
    </row>
    <row r="355" spans="1:49">
      <c r="A355" s="9">
        <v>354</v>
      </c>
      <c r="B355" s="9" t="s">
        <v>224</v>
      </c>
      <c r="C355" s="10">
        <v>9144269391</v>
      </c>
      <c r="D355" s="9" t="s">
        <v>280</v>
      </c>
      <c r="E355" s="9">
        <f>COUNTIF($C$1:C355,C355)</f>
        <v>3</v>
      </c>
      <c r="F355" s="9" t="str">
        <f t="shared" si="71"/>
        <v>91442693913</v>
      </c>
      <c r="G355" s="9">
        <f t="shared" si="73"/>
        <v>0</v>
      </c>
      <c r="H355" s="9">
        <f t="shared" si="72"/>
        <v>1</v>
      </c>
      <c r="I355"/>
      <c r="AV355">
        <v>354</v>
      </c>
      <c r="AW355" t="s">
        <v>224</v>
      </c>
    </row>
    <row r="356" spans="1:49">
      <c r="A356" s="9">
        <v>355</v>
      </c>
      <c r="B356" s="9" t="s">
        <v>225</v>
      </c>
      <c r="C356" s="10">
        <v>9144904255</v>
      </c>
      <c r="D356" s="9" t="s">
        <v>280</v>
      </c>
      <c r="E356" s="9">
        <f>COUNTIF($C$1:C356,C356)</f>
        <v>5</v>
      </c>
      <c r="F356" s="9" t="str">
        <f t="shared" si="71"/>
        <v>91449042555</v>
      </c>
      <c r="G356" s="9">
        <f t="shared" si="73"/>
        <v>1</v>
      </c>
      <c r="H356" s="9">
        <f t="shared" si="72"/>
        <v>0</v>
      </c>
      <c r="I356"/>
      <c r="AV356">
        <v>355</v>
      </c>
      <c r="AW356" t="s">
        <v>225</v>
      </c>
    </row>
    <row r="357" spans="1:49">
      <c r="A357" s="9">
        <v>356</v>
      </c>
      <c r="B357" s="9" t="s">
        <v>226</v>
      </c>
      <c r="C357" s="10">
        <v>9143563105</v>
      </c>
      <c r="D357" s="9" t="s">
        <v>280</v>
      </c>
      <c r="E357" s="9">
        <f>COUNTIF($C$1:C357,C357)</f>
        <v>2</v>
      </c>
      <c r="F357" s="9" t="str">
        <f t="shared" si="71"/>
        <v>91435631052</v>
      </c>
      <c r="G357" s="9">
        <f t="shared" si="73"/>
        <v>1</v>
      </c>
      <c r="H357" s="9">
        <f t="shared" si="72"/>
        <v>0</v>
      </c>
      <c r="I357"/>
      <c r="AV357">
        <v>356</v>
      </c>
      <c r="AW357" t="s">
        <v>226</v>
      </c>
    </row>
    <row r="358" spans="1:49">
      <c r="A358" s="9">
        <v>357</v>
      </c>
      <c r="B358" s="9" t="s">
        <v>227</v>
      </c>
      <c r="C358" s="10">
        <v>9542976570</v>
      </c>
      <c r="D358" s="9" t="s">
        <v>280</v>
      </c>
      <c r="E358" s="9">
        <f>COUNTIF($C$1:C358,C358)</f>
        <v>1</v>
      </c>
      <c r="F358" s="9" t="str">
        <f t="shared" si="71"/>
        <v>95429765701</v>
      </c>
      <c r="G358" s="9">
        <f t="shared" si="73"/>
        <v>0</v>
      </c>
      <c r="H358" s="9">
        <f t="shared" si="72"/>
        <v>0</v>
      </c>
      <c r="I358"/>
      <c r="AV358">
        <v>357</v>
      </c>
      <c r="AW358" t="s">
        <v>227</v>
      </c>
    </row>
    <row r="359" spans="1:49">
      <c r="A359" s="9">
        <v>358</v>
      </c>
      <c r="B359" s="9"/>
      <c r="C359" s="10"/>
      <c r="D359" s="9"/>
      <c r="E359" s="9">
        <f>COUNTIF($C$1:C359,C359)</f>
        <v>0</v>
      </c>
      <c r="F359" s="9" t="str">
        <f t="shared" si="71"/>
        <v>0</v>
      </c>
      <c r="G359" s="9">
        <f t="shared" si="73"/>
        <v>0</v>
      </c>
      <c r="H359" s="9">
        <f t="shared" si="72"/>
        <v>0</v>
      </c>
      <c r="I359"/>
      <c r="AV359">
        <v>358</v>
      </c>
    </row>
    <row r="360" spans="1:49">
      <c r="A360" s="9">
        <v>359</v>
      </c>
      <c r="B360" s="9"/>
      <c r="C360" s="10"/>
      <c r="D360" s="9"/>
      <c r="E360" s="9">
        <f>COUNTIF($C$1:C360,C360)</f>
        <v>0</v>
      </c>
      <c r="F360" s="9" t="str">
        <f t="shared" si="71"/>
        <v>0</v>
      </c>
      <c r="G360" s="9">
        <f t="shared" si="73"/>
        <v>0</v>
      </c>
      <c r="H360" s="9">
        <f t="shared" si="72"/>
        <v>0</v>
      </c>
      <c r="I360"/>
      <c r="AV360">
        <v>359</v>
      </c>
    </row>
    <row r="361" spans="1:49">
      <c r="A361" s="9">
        <v>360</v>
      </c>
      <c r="B361" s="9" t="s">
        <v>228</v>
      </c>
      <c r="C361" s="10"/>
      <c r="D361" s="9"/>
      <c r="E361" s="9">
        <f>COUNTIF($C$1:C361,C361)</f>
        <v>0</v>
      </c>
      <c r="F361" s="9" t="str">
        <f t="shared" si="71"/>
        <v>0</v>
      </c>
      <c r="G361" s="9">
        <f t="shared" si="73"/>
        <v>0</v>
      </c>
      <c r="H361" s="9">
        <f t="shared" si="72"/>
        <v>1</v>
      </c>
      <c r="I361"/>
      <c r="AV361">
        <v>360</v>
      </c>
      <c r="AW361" t="s">
        <v>228</v>
      </c>
    </row>
    <row r="362" spans="1:49">
      <c r="A362" s="9">
        <v>361</v>
      </c>
      <c r="B362" s="9" t="s">
        <v>200</v>
      </c>
      <c r="C362" s="10">
        <v>2039123543</v>
      </c>
      <c r="D362" s="9" t="s">
        <v>280</v>
      </c>
      <c r="E362" s="9">
        <f>COUNTIF($C$1:C362,C362)</f>
        <v>3</v>
      </c>
      <c r="F362" s="9" t="str">
        <f t="shared" si="71"/>
        <v>20391235433</v>
      </c>
      <c r="G362" s="9">
        <f t="shared" si="73"/>
        <v>0</v>
      </c>
      <c r="H362" s="9">
        <f t="shared" si="72"/>
        <v>0</v>
      </c>
      <c r="I362"/>
      <c r="AV362">
        <v>361</v>
      </c>
      <c r="AW362" t="s">
        <v>200</v>
      </c>
    </row>
    <row r="363" spans="1:49">
      <c r="A363" s="9">
        <v>362</v>
      </c>
      <c r="B363" s="9"/>
      <c r="C363" s="10"/>
      <c r="D363" s="9"/>
      <c r="E363" s="9">
        <f>COUNTIF($C$1:C363,C363)</f>
        <v>0</v>
      </c>
      <c r="F363" s="9" t="str">
        <f t="shared" si="71"/>
        <v>0</v>
      </c>
      <c r="G363" s="9">
        <f t="shared" si="73"/>
        <v>0</v>
      </c>
      <c r="H363" s="9">
        <f t="shared" si="72"/>
        <v>0</v>
      </c>
      <c r="I363"/>
      <c r="AV363">
        <v>362</v>
      </c>
    </row>
    <row r="364" spans="1:49">
      <c r="A364" s="9">
        <v>363</v>
      </c>
      <c r="B364" s="9" t="s">
        <v>315</v>
      </c>
      <c r="C364" s="10">
        <v>9145650041</v>
      </c>
      <c r="D364" s="9" t="s">
        <v>280</v>
      </c>
      <c r="E364" s="9">
        <f>COUNTIF($C$1:C364,C364)</f>
        <v>3</v>
      </c>
      <c r="F364" s="9" t="str">
        <f t="shared" si="71"/>
        <v>91456500413</v>
      </c>
      <c r="G364" s="9">
        <f t="shared" si="73"/>
        <v>1</v>
      </c>
      <c r="H364" s="9">
        <f t="shared" si="72"/>
        <v>0</v>
      </c>
      <c r="I364"/>
      <c r="AV364">
        <v>363</v>
      </c>
      <c r="AW364" t="s">
        <v>100</v>
      </c>
    </row>
    <row r="365" spans="1:49">
      <c r="A365" s="9">
        <v>364</v>
      </c>
      <c r="B365" s="9" t="s">
        <v>229</v>
      </c>
      <c r="C365" s="10">
        <v>9143563105</v>
      </c>
      <c r="D365" s="9" t="s">
        <v>280</v>
      </c>
      <c r="E365" s="9">
        <f>COUNTIF($C$1:C365,C365)</f>
        <v>3</v>
      </c>
      <c r="F365" s="9" t="str">
        <f t="shared" si="71"/>
        <v>91435631053</v>
      </c>
      <c r="G365" s="9">
        <f t="shared" si="73"/>
        <v>1</v>
      </c>
      <c r="H365" s="9">
        <f t="shared" si="72"/>
        <v>0</v>
      </c>
      <c r="I365"/>
      <c r="AV365">
        <v>364</v>
      </c>
      <c r="AW365" t="s">
        <v>229</v>
      </c>
    </row>
    <row r="366" spans="1:49">
      <c r="A366" s="9">
        <v>365</v>
      </c>
      <c r="B366" s="9" t="s">
        <v>325</v>
      </c>
      <c r="C366" s="10">
        <v>2035406751</v>
      </c>
      <c r="D366" s="9" t="s">
        <v>280</v>
      </c>
      <c r="E366" s="9">
        <f>COUNTIF($C$1:C366,C366)</f>
        <v>2</v>
      </c>
      <c r="F366" s="9" t="str">
        <f t="shared" si="71"/>
        <v>20354067512</v>
      </c>
      <c r="G366" s="9">
        <f t="shared" si="73"/>
        <v>0</v>
      </c>
      <c r="H366" s="9">
        <f t="shared" si="72"/>
        <v>1</v>
      </c>
      <c r="I366"/>
      <c r="AV366">
        <v>365</v>
      </c>
      <c r="AW366" t="s">
        <v>230</v>
      </c>
    </row>
    <row r="367" spans="1:49">
      <c r="A367" s="9">
        <v>366</v>
      </c>
      <c r="B367" s="9"/>
      <c r="C367" s="10"/>
      <c r="D367" s="9"/>
      <c r="E367" s="9">
        <f>COUNTIF($C$1:C367,C367)</f>
        <v>0</v>
      </c>
      <c r="F367" s="9" t="str">
        <f t="shared" si="71"/>
        <v>0</v>
      </c>
      <c r="G367" s="9">
        <f t="shared" si="73"/>
        <v>0</v>
      </c>
      <c r="H367" s="9">
        <f t="shared" si="72"/>
        <v>0</v>
      </c>
      <c r="I367"/>
      <c r="AV367">
        <v>366</v>
      </c>
    </row>
    <row r="368" spans="1:49">
      <c r="A368" s="9">
        <v>367</v>
      </c>
      <c r="B368" s="9" t="s">
        <v>109</v>
      </c>
      <c r="C368" s="10">
        <v>9147740936</v>
      </c>
      <c r="D368" s="9" t="s">
        <v>280</v>
      </c>
      <c r="E368" s="9">
        <f>COUNTIF($C$1:C368,C368)</f>
        <v>2</v>
      </c>
      <c r="F368" s="9" t="str">
        <f t="shared" si="71"/>
        <v>91477409362</v>
      </c>
      <c r="G368" s="9">
        <f t="shared" si="73"/>
        <v>1</v>
      </c>
      <c r="H368" s="9">
        <f t="shared" si="72"/>
        <v>0</v>
      </c>
      <c r="I368"/>
      <c r="AV368">
        <v>367</v>
      </c>
      <c r="AW368" t="s">
        <v>109</v>
      </c>
    </row>
    <row r="369" spans="1:49">
      <c r="A369" s="9">
        <v>368</v>
      </c>
      <c r="B369" s="9"/>
      <c r="C369" s="10"/>
      <c r="D369" s="9"/>
      <c r="E369" s="9">
        <f>COUNTIF($C$1:C369,C369)</f>
        <v>0</v>
      </c>
      <c r="F369" s="9" t="str">
        <f t="shared" si="71"/>
        <v>0</v>
      </c>
      <c r="G369" s="9">
        <f t="shared" si="73"/>
        <v>0</v>
      </c>
      <c r="H369" s="9">
        <f t="shared" si="72"/>
        <v>0</v>
      </c>
      <c r="I369"/>
      <c r="AV369">
        <v>368</v>
      </c>
    </row>
    <row r="370" spans="1:49">
      <c r="A370" s="9">
        <v>369</v>
      </c>
      <c r="B370" s="9" t="s">
        <v>231</v>
      </c>
      <c r="C370" s="10"/>
      <c r="D370" s="9"/>
      <c r="E370" s="9">
        <f>COUNTIF($C$1:C370,C370)</f>
        <v>0</v>
      </c>
      <c r="F370" s="9" t="str">
        <f t="shared" si="71"/>
        <v>0</v>
      </c>
      <c r="G370" s="9">
        <f t="shared" si="73"/>
        <v>1</v>
      </c>
      <c r="H370" s="9">
        <f t="shared" si="72"/>
        <v>0</v>
      </c>
      <c r="I370"/>
      <c r="AV370">
        <v>369</v>
      </c>
      <c r="AW370" t="s">
        <v>231</v>
      </c>
    </row>
    <row r="371" spans="1:49">
      <c r="A371" s="9">
        <v>370</v>
      </c>
      <c r="B371" s="9" t="s">
        <v>232</v>
      </c>
      <c r="C371" s="10">
        <v>9148043987</v>
      </c>
      <c r="D371" s="9" t="s">
        <v>280</v>
      </c>
      <c r="E371" s="9">
        <f>COUNTIF($C$1:C371,C371)</f>
        <v>1</v>
      </c>
      <c r="F371" s="9" t="str">
        <f t="shared" si="71"/>
        <v>91480439871</v>
      </c>
      <c r="G371" s="9">
        <f t="shared" si="73"/>
        <v>0</v>
      </c>
      <c r="H371" s="9">
        <f t="shared" si="72"/>
        <v>0</v>
      </c>
      <c r="I371"/>
      <c r="AV371">
        <v>370</v>
      </c>
      <c r="AW371" t="s">
        <v>232</v>
      </c>
    </row>
    <row r="372" spans="1:49">
      <c r="A372" s="9">
        <v>371</v>
      </c>
      <c r="B372" s="9"/>
      <c r="C372" s="10"/>
      <c r="D372" s="9"/>
      <c r="E372" s="9">
        <f>COUNTIF($C$1:C372,C372)</f>
        <v>0</v>
      </c>
      <c r="F372" s="9" t="str">
        <f t="shared" si="71"/>
        <v>0</v>
      </c>
      <c r="G372" s="9">
        <f t="shared" si="73"/>
        <v>0</v>
      </c>
      <c r="H372" s="9">
        <f t="shared" si="72"/>
        <v>0</v>
      </c>
      <c r="I372"/>
      <c r="AV372">
        <v>371</v>
      </c>
    </row>
    <row r="373" spans="1:49">
      <c r="A373" s="9">
        <v>372</v>
      </c>
      <c r="B373" s="9" t="s">
        <v>203</v>
      </c>
      <c r="C373" s="10"/>
      <c r="D373" s="9"/>
      <c r="E373" s="9">
        <f>COUNTIF($C$1:C373,C373)</f>
        <v>0</v>
      </c>
      <c r="F373" s="9" t="str">
        <f t="shared" si="71"/>
        <v>0</v>
      </c>
      <c r="G373" s="9">
        <f t="shared" si="73"/>
        <v>0</v>
      </c>
      <c r="H373" s="9">
        <f t="shared" si="72"/>
        <v>0</v>
      </c>
      <c r="I373"/>
      <c r="AV373">
        <v>372</v>
      </c>
      <c r="AW373" t="s">
        <v>203</v>
      </c>
    </row>
    <row r="374" spans="1:49">
      <c r="A374" s="9">
        <v>373</v>
      </c>
      <c r="B374" s="9"/>
      <c r="C374" s="10"/>
      <c r="D374" s="9"/>
      <c r="E374" s="9">
        <f>COUNTIF($C$1:C374,C374)</f>
        <v>0</v>
      </c>
      <c r="F374" s="9" t="str">
        <f t="shared" si="71"/>
        <v>0</v>
      </c>
      <c r="G374" s="9">
        <f t="shared" si="73"/>
        <v>0</v>
      </c>
      <c r="H374" s="9">
        <f t="shared" si="72"/>
        <v>0</v>
      </c>
      <c r="I374"/>
      <c r="AV374">
        <v>373</v>
      </c>
    </row>
    <row r="375" spans="1:49">
      <c r="A375" s="9">
        <v>374</v>
      </c>
      <c r="B375" s="9"/>
      <c r="C375" s="10"/>
      <c r="D375" s="9"/>
      <c r="E375" s="9">
        <f>COUNTIF($C$1:C375,C375)</f>
        <v>0</v>
      </c>
      <c r="F375" s="9" t="str">
        <f t="shared" si="71"/>
        <v>0</v>
      </c>
      <c r="G375" s="9">
        <f t="shared" si="73"/>
        <v>0</v>
      </c>
      <c r="H375" s="9">
        <f t="shared" si="72"/>
        <v>0</v>
      </c>
      <c r="I375"/>
      <c r="AV375">
        <v>374</v>
      </c>
    </row>
    <row r="376" spans="1:49">
      <c r="A376" s="9">
        <v>375</v>
      </c>
      <c r="B376" s="9"/>
      <c r="C376" s="10"/>
      <c r="D376" s="9"/>
      <c r="E376" s="9">
        <f>COUNTIF($C$1:C376,C376)</f>
        <v>0</v>
      </c>
      <c r="F376" s="9" t="str">
        <f t="shared" si="71"/>
        <v>0</v>
      </c>
      <c r="G376" s="9">
        <f t="shared" si="73"/>
        <v>0</v>
      </c>
      <c r="H376" s="9">
        <f t="shared" si="72"/>
        <v>0</v>
      </c>
      <c r="I376"/>
      <c r="AV376">
        <v>375</v>
      </c>
    </row>
    <row r="377" spans="1:49">
      <c r="A377" s="9">
        <v>376</v>
      </c>
      <c r="B377" s="9"/>
      <c r="C377" s="10"/>
      <c r="D377" s="9"/>
      <c r="E377" s="9">
        <f>COUNTIF($C$1:C377,C377)</f>
        <v>0</v>
      </c>
      <c r="F377" s="9" t="str">
        <f t="shared" si="71"/>
        <v>0</v>
      </c>
      <c r="G377" s="9">
        <f t="shared" si="73"/>
        <v>0</v>
      </c>
      <c r="H377" s="9">
        <f t="shared" si="72"/>
        <v>0</v>
      </c>
      <c r="I377"/>
      <c r="AV377">
        <v>376</v>
      </c>
    </row>
    <row r="378" spans="1:49">
      <c r="A378" s="9">
        <v>377</v>
      </c>
      <c r="B378" s="9" t="s">
        <v>112</v>
      </c>
      <c r="C378" s="10">
        <v>9144901203</v>
      </c>
      <c r="D378" s="9" t="s">
        <v>280</v>
      </c>
      <c r="E378" s="9">
        <f>COUNTIF($C$1:C378,C378)</f>
        <v>2</v>
      </c>
      <c r="F378" s="9" t="str">
        <f t="shared" si="71"/>
        <v>91449012032</v>
      </c>
      <c r="G378" s="9">
        <f t="shared" si="73"/>
        <v>1</v>
      </c>
      <c r="H378" s="9">
        <f t="shared" si="72"/>
        <v>0</v>
      </c>
      <c r="I378"/>
      <c r="AV378">
        <v>377</v>
      </c>
      <c r="AW378" t="s">
        <v>112</v>
      </c>
    </row>
    <row r="379" spans="1:49">
      <c r="A379" s="9">
        <v>378</v>
      </c>
      <c r="B379" s="9"/>
      <c r="C379" s="10"/>
      <c r="D379" s="9"/>
      <c r="E379" s="9">
        <f>COUNTIF($C$1:C379,C379)</f>
        <v>0</v>
      </c>
      <c r="F379" s="9" t="str">
        <f t="shared" si="71"/>
        <v>0</v>
      </c>
      <c r="G379" s="9">
        <f t="shared" si="73"/>
        <v>0</v>
      </c>
      <c r="H379" s="9">
        <f t="shared" si="72"/>
        <v>0</v>
      </c>
      <c r="I379"/>
      <c r="AV379">
        <v>378</v>
      </c>
    </row>
    <row r="380" spans="1:49">
      <c r="A380" s="9">
        <v>379</v>
      </c>
      <c r="B380" s="9" t="s">
        <v>233</v>
      </c>
      <c r="C380" s="10">
        <v>9147602272</v>
      </c>
      <c r="D380" s="9" t="s">
        <v>280</v>
      </c>
      <c r="E380" s="9">
        <f>COUNTIF($C$1:C380,C380)</f>
        <v>6</v>
      </c>
      <c r="F380" s="9" t="str">
        <f t="shared" si="71"/>
        <v>91476022726</v>
      </c>
      <c r="G380" s="9">
        <f t="shared" si="73"/>
        <v>0</v>
      </c>
      <c r="H380" s="9">
        <f t="shared" si="72"/>
        <v>0</v>
      </c>
      <c r="I380"/>
      <c r="AV380">
        <v>379</v>
      </c>
      <c r="AW380" t="s">
        <v>233</v>
      </c>
    </row>
    <row r="381" spans="1:49">
      <c r="A381" s="9">
        <v>380</v>
      </c>
      <c r="B381" s="9" t="s">
        <v>234</v>
      </c>
      <c r="C381" s="10">
        <v>4752337695</v>
      </c>
      <c r="D381" s="9" t="s">
        <v>280</v>
      </c>
      <c r="E381" s="9">
        <f>COUNTIF($C$1:C381,C381)</f>
        <v>1</v>
      </c>
      <c r="F381" s="9" t="str">
        <f t="shared" si="71"/>
        <v>47523376951</v>
      </c>
      <c r="G381" s="9">
        <f t="shared" si="73"/>
        <v>0</v>
      </c>
      <c r="H381" s="9">
        <f t="shared" si="72"/>
        <v>0</v>
      </c>
      <c r="I381"/>
      <c r="AV381">
        <v>380</v>
      </c>
      <c r="AW381" t="s">
        <v>234</v>
      </c>
    </row>
    <row r="382" spans="1:49">
      <c r="A382" s="9">
        <v>381</v>
      </c>
      <c r="B382" s="9"/>
      <c r="C382" s="10"/>
      <c r="D382" s="9"/>
      <c r="E382" s="9">
        <f>COUNTIF($C$1:C382,C382)</f>
        <v>0</v>
      </c>
      <c r="F382" s="9" t="str">
        <f t="shared" si="71"/>
        <v>0</v>
      </c>
      <c r="G382" s="9">
        <f t="shared" si="73"/>
        <v>0</v>
      </c>
      <c r="H382" s="9">
        <f t="shared" si="72"/>
        <v>0</v>
      </c>
      <c r="I382"/>
      <c r="AV382">
        <v>381</v>
      </c>
    </row>
    <row r="383" spans="1:49">
      <c r="A383" s="9">
        <v>382</v>
      </c>
      <c r="B383" s="9" t="s">
        <v>235</v>
      </c>
      <c r="C383" s="10">
        <v>9144690686</v>
      </c>
      <c r="D383" s="9" t="s">
        <v>280</v>
      </c>
      <c r="E383" s="9">
        <f>COUNTIF($C$1:C383,C383)</f>
        <v>2</v>
      </c>
      <c r="F383" s="9" t="str">
        <f t="shared" si="71"/>
        <v>91446906862</v>
      </c>
      <c r="G383" s="9">
        <f t="shared" si="73"/>
        <v>0</v>
      </c>
      <c r="H383" s="9">
        <f t="shared" si="72"/>
        <v>0</v>
      </c>
      <c r="I383"/>
      <c r="AV383">
        <v>382</v>
      </c>
      <c r="AW383" t="s">
        <v>235</v>
      </c>
    </row>
    <row r="384" spans="1:49">
      <c r="A384" s="9">
        <v>383</v>
      </c>
      <c r="B384" s="9" t="s">
        <v>315</v>
      </c>
      <c r="C384" s="10">
        <v>9145650041</v>
      </c>
      <c r="D384" s="9" t="s">
        <v>280</v>
      </c>
      <c r="E384" s="9">
        <f>COUNTIF($C$1:C384,C384)</f>
        <v>4</v>
      </c>
      <c r="F384" s="9" t="str">
        <f t="shared" si="71"/>
        <v>91456500414</v>
      </c>
      <c r="G384" s="9">
        <f t="shared" si="73"/>
        <v>1</v>
      </c>
      <c r="H384" s="9">
        <f t="shared" si="72"/>
        <v>0</v>
      </c>
      <c r="I384"/>
      <c r="AV384">
        <v>383</v>
      </c>
      <c r="AW384" t="s">
        <v>236</v>
      </c>
    </row>
    <row r="385" spans="1:49">
      <c r="A385" s="9">
        <v>384</v>
      </c>
      <c r="B385" s="9" t="s">
        <v>237</v>
      </c>
      <c r="C385" s="10">
        <v>9144909467</v>
      </c>
      <c r="D385" s="9" t="s">
        <v>280</v>
      </c>
      <c r="E385" s="9">
        <f>COUNTIF($C$1:C385,C385)</f>
        <v>1</v>
      </c>
      <c r="F385" s="9" t="str">
        <f t="shared" si="71"/>
        <v>91449094671</v>
      </c>
      <c r="G385" s="9">
        <f t="shared" si="73"/>
        <v>0</v>
      </c>
      <c r="H385" s="9">
        <f t="shared" si="72"/>
        <v>0</v>
      </c>
      <c r="I385"/>
      <c r="AV385">
        <v>384</v>
      </c>
      <c r="AW385" t="s">
        <v>237</v>
      </c>
    </row>
    <row r="386" spans="1:49">
      <c r="A386" s="9">
        <v>385</v>
      </c>
      <c r="B386" s="9" t="s">
        <v>238</v>
      </c>
      <c r="C386" s="10">
        <v>9146095697</v>
      </c>
      <c r="D386" s="9" t="s">
        <v>280</v>
      </c>
      <c r="E386" s="9">
        <f>COUNTIF($C$1:C386,C386)</f>
        <v>6</v>
      </c>
      <c r="F386" s="9" t="str">
        <f t="shared" si="71"/>
        <v>91460956976</v>
      </c>
      <c r="G386" s="9">
        <f t="shared" si="73"/>
        <v>0</v>
      </c>
      <c r="H386" s="9">
        <f t="shared" si="72"/>
        <v>1</v>
      </c>
      <c r="I386"/>
      <c r="AV386">
        <v>385</v>
      </c>
      <c r="AW386" t="s">
        <v>238</v>
      </c>
    </row>
    <row r="387" spans="1:49">
      <c r="A387" s="9">
        <v>386</v>
      </c>
      <c r="B387" s="9" t="s">
        <v>239</v>
      </c>
      <c r="C387" s="10">
        <v>2038078841</v>
      </c>
      <c r="D387" s="9" t="s">
        <v>280</v>
      </c>
      <c r="E387" s="9">
        <f>COUNTIF($C$1:C387,C387)</f>
        <v>2</v>
      </c>
      <c r="F387" s="9" t="str">
        <f t="shared" ref="F387:F450" si="74">C387&amp;E387</f>
        <v>20380788412</v>
      </c>
      <c r="G387" s="9">
        <f t="shared" si="73"/>
        <v>1</v>
      </c>
      <c r="H387" s="9">
        <f t="shared" ref="H387:H450" si="75">IF(IFERROR(FIND("free",LOWER(B387)),0)=0,0,1)</f>
        <v>0</v>
      </c>
      <c r="I387"/>
      <c r="AV387">
        <v>386</v>
      </c>
      <c r="AW387" t="s">
        <v>239</v>
      </c>
    </row>
    <row r="388" spans="1:49">
      <c r="A388" s="9">
        <v>387</v>
      </c>
      <c r="B388" s="9" t="s">
        <v>240</v>
      </c>
      <c r="C388" s="10">
        <v>9148302799</v>
      </c>
      <c r="D388" s="9" t="s">
        <v>280</v>
      </c>
      <c r="E388" s="9">
        <f>COUNTIF($C$1:C388,C388)</f>
        <v>2</v>
      </c>
      <c r="F388" s="9" t="str">
        <f t="shared" si="74"/>
        <v>91483027992</v>
      </c>
      <c r="G388" s="9">
        <f t="shared" ref="G388:G451" si="76">IF(IFERROR(FIND("pg",LOWER(B388)),0)=0,0,1)</f>
        <v>1</v>
      </c>
      <c r="H388" s="9">
        <f t="shared" si="75"/>
        <v>0</v>
      </c>
      <c r="I388"/>
      <c r="AV388">
        <v>387</v>
      </c>
      <c r="AW388" t="s">
        <v>240</v>
      </c>
    </row>
    <row r="389" spans="1:49">
      <c r="A389" s="9">
        <v>388</v>
      </c>
      <c r="B389" s="9" t="s">
        <v>241</v>
      </c>
      <c r="C389" s="10">
        <v>4752065818</v>
      </c>
      <c r="D389" s="9" t="s">
        <v>280</v>
      </c>
      <c r="E389" s="9">
        <f>COUNTIF($C$1:C389,C389)</f>
        <v>2</v>
      </c>
      <c r="F389" s="9" t="str">
        <f t="shared" si="74"/>
        <v>47520658182</v>
      </c>
      <c r="G389" s="9">
        <f t="shared" si="76"/>
        <v>0</v>
      </c>
      <c r="H389" s="9">
        <f t="shared" si="75"/>
        <v>0</v>
      </c>
      <c r="I389"/>
      <c r="AV389">
        <v>388</v>
      </c>
      <c r="AW389" t="s">
        <v>241</v>
      </c>
    </row>
    <row r="390" spans="1:49">
      <c r="A390" s="9">
        <v>389</v>
      </c>
      <c r="B390" s="9"/>
      <c r="C390" s="10"/>
      <c r="D390" s="9"/>
      <c r="E390" s="9">
        <f>COUNTIF($C$1:C390,C390)</f>
        <v>0</v>
      </c>
      <c r="F390" s="9" t="str">
        <f t="shared" si="74"/>
        <v>0</v>
      </c>
      <c r="G390" s="9">
        <f t="shared" si="76"/>
        <v>0</v>
      </c>
      <c r="H390" s="9">
        <f t="shared" si="75"/>
        <v>0</v>
      </c>
      <c r="I390"/>
      <c r="AV390">
        <v>389</v>
      </c>
    </row>
    <row r="391" spans="1:49">
      <c r="A391" s="9">
        <v>390</v>
      </c>
      <c r="B391" s="9" t="s">
        <v>242</v>
      </c>
      <c r="C391" s="10">
        <v>4752337695</v>
      </c>
      <c r="D391" s="9" t="s">
        <v>280</v>
      </c>
      <c r="E391" s="9">
        <f>COUNTIF($C$1:C391,C391)</f>
        <v>2</v>
      </c>
      <c r="F391" s="9" t="str">
        <f t="shared" si="74"/>
        <v>47523376952</v>
      </c>
      <c r="G391" s="9">
        <f t="shared" si="76"/>
        <v>0</v>
      </c>
      <c r="H391" s="9">
        <f t="shared" si="75"/>
        <v>0</v>
      </c>
      <c r="I391"/>
      <c r="AV391">
        <v>390</v>
      </c>
      <c r="AW391" t="s">
        <v>242</v>
      </c>
    </row>
    <row r="392" spans="1:49">
      <c r="A392" s="9">
        <v>391</v>
      </c>
      <c r="B392" s="9" t="s">
        <v>188</v>
      </c>
      <c r="C392" s="10">
        <v>9144695805</v>
      </c>
      <c r="D392" s="9" t="s">
        <v>280</v>
      </c>
      <c r="E392" s="9">
        <f>COUNTIF($C$1:C392,C392)</f>
        <v>3</v>
      </c>
      <c r="F392" s="9" t="str">
        <f t="shared" si="74"/>
        <v>91446958053</v>
      </c>
      <c r="G392" s="9">
        <f t="shared" si="76"/>
        <v>0</v>
      </c>
      <c r="H392" s="9">
        <f t="shared" si="75"/>
        <v>0</v>
      </c>
      <c r="I392"/>
      <c r="AV392">
        <v>391</v>
      </c>
      <c r="AW392" t="s">
        <v>188</v>
      </c>
    </row>
    <row r="393" spans="1:49">
      <c r="A393" s="9">
        <v>392</v>
      </c>
      <c r="B393" s="9"/>
      <c r="C393" s="10"/>
      <c r="D393" s="9"/>
      <c r="E393" s="9">
        <f>COUNTIF($C$1:C393,C393)</f>
        <v>0</v>
      </c>
      <c r="F393" s="9" t="str">
        <f t="shared" si="74"/>
        <v>0</v>
      </c>
      <c r="G393" s="9">
        <f t="shared" si="76"/>
        <v>0</v>
      </c>
      <c r="H393" s="9">
        <f t="shared" si="75"/>
        <v>0</v>
      </c>
      <c r="I393"/>
      <c r="AV393">
        <v>392</v>
      </c>
    </row>
    <row r="394" spans="1:49">
      <c r="A394" s="9">
        <v>393</v>
      </c>
      <c r="B394" s="9" t="s">
        <v>327</v>
      </c>
      <c r="C394" s="10">
        <v>2039819598</v>
      </c>
      <c r="D394" s="9" t="s">
        <v>280</v>
      </c>
      <c r="E394" s="9">
        <f>COUNTIF($C$1:C394,C394)</f>
        <v>3</v>
      </c>
      <c r="F394" s="9" t="str">
        <f t="shared" si="74"/>
        <v>20398195983</v>
      </c>
      <c r="G394" s="9">
        <f t="shared" si="76"/>
        <v>0</v>
      </c>
      <c r="H394" s="9">
        <f t="shared" si="75"/>
        <v>1</v>
      </c>
      <c r="I394"/>
      <c r="AV394">
        <v>393</v>
      </c>
    </row>
    <row r="395" spans="1:49">
      <c r="A395" s="9">
        <v>394</v>
      </c>
      <c r="B395" s="9" t="s">
        <v>235</v>
      </c>
      <c r="C395" s="10">
        <v>9144690686</v>
      </c>
      <c r="D395" s="9" t="s">
        <v>280</v>
      </c>
      <c r="E395" s="9">
        <f>COUNTIF($C$1:C395,C395)</f>
        <v>3</v>
      </c>
      <c r="F395" s="9" t="str">
        <f t="shared" si="74"/>
        <v>91446906863</v>
      </c>
      <c r="G395" s="9">
        <f t="shared" si="76"/>
        <v>0</v>
      </c>
      <c r="H395" s="9">
        <f t="shared" si="75"/>
        <v>0</v>
      </c>
      <c r="I395"/>
      <c r="AV395">
        <v>394</v>
      </c>
      <c r="AW395" t="s">
        <v>235</v>
      </c>
    </row>
    <row r="396" spans="1:49">
      <c r="A396" s="9">
        <v>395</v>
      </c>
      <c r="B396" s="9" t="s">
        <v>243</v>
      </c>
      <c r="C396" s="10">
        <v>2035268465</v>
      </c>
      <c r="D396" s="9" t="s">
        <v>280</v>
      </c>
      <c r="E396" s="9">
        <f>COUNTIF($C$1:C396,C396)</f>
        <v>1</v>
      </c>
      <c r="F396" s="9" t="str">
        <f t="shared" si="74"/>
        <v>20352684651</v>
      </c>
      <c r="G396" s="9">
        <f t="shared" si="76"/>
        <v>0</v>
      </c>
      <c r="H396" s="9">
        <f t="shared" si="75"/>
        <v>0</v>
      </c>
      <c r="I396"/>
      <c r="AV396">
        <v>395</v>
      </c>
      <c r="AW396" t="s">
        <v>243</v>
      </c>
    </row>
    <row r="397" spans="1:49">
      <c r="A397" s="9">
        <v>396</v>
      </c>
      <c r="B397" s="9" t="s">
        <v>195</v>
      </c>
      <c r="C397" s="10">
        <v>9145620301</v>
      </c>
      <c r="D397" s="9" t="s">
        <v>280</v>
      </c>
      <c r="E397" s="9">
        <f>COUNTIF($C$1:C397,C397)</f>
        <v>5</v>
      </c>
      <c r="F397" s="9" t="str">
        <f t="shared" si="74"/>
        <v>91456203015</v>
      </c>
      <c r="G397" s="9">
        <f t="shared" si="76"/>
        <v>0</v>
      </c>
      <c r="H397" s="9">
        <f t="shared" si="75"/>
        <v>0</v>
      </c>
      <c r="I397"/>
      <c r="AV397">
        <v>396</v>
      </c>
      <c r="AW397" t="s">
        <v>195</v>
      </c>
    </row>
    <row r="398" spans="1:49">
      <c r="A398" s="9">
        <v>397</v>
      </c>
      <c r="B398" s="9" t="s">
        <v>74</v>
      </c>
      <c r="C398" s="10"/>
      <c r="D398" s="9"/>
      <c r="E398" s="9">
        <f>COUNTIF($C$1:C398,C398)</f>
        <v>0</v>
      </c>
      <c r="F398" s="9" t="str">
        <f t="shared" si="74"/>
        <v>0</v>
      </c>
      <c r="G398" s="9">
        <f t="shared" si="76"/>
        <v>0</v>
      </c>
      <c r="H398" s="9">
        <f t="shared" si="75"/>
        <v>0</v>
      </c>
      <c r="I398"/>
      <c r="AV398">
        <v>397</v>
      </c>
      <c r="AW398" t="s">
        <v>74</v>
      </c>
    </row>
    <row r="399" spans="1:49">
      <c r="A399" s="9">
        <v>398</v>
      </c>
      <c r="B399" s="9"/>
      <c r="C399" s="10"/>
      <c r="D399" s="9"/>
      <c r="E399" s="9">
        <f>COUNTIF($C$1:C399,C399)</f>
        <v>0</v>
      </c>
      <c r="F399" s="9" t="str">
        <f t="shared" si="74"/>
        <v>0</v>
      </c>
      <c r="G399" s="9">
        <f t="shared" si="76"/>
        <v>0</v>
      </c>
      <c r="H399" s="9">
        <f t="shared" si="75"/>
        <v>0</v>
      </c>
      <c r="I399"/>
      <c r="AV399">
        <v>398</v>
      </c>
    </row>
    <row r="400" spans="1:49">
      <c r="A400" s="9">
        <v>399</v>
      </c>
      <c r="B400" s="9" t="s">
        <v>244</v>
      </c>
      <c r="C400" s="10">
        <v>2035127679</v>
      </c>
      <c r="D400" s="9" t="s">
        <v>280</v>
      </c>
      <c r="E400" s="9">
        <f>COUNTIF($C$1:C400,C400)</f>
        <v>1</v>
      </c>
      <c r="F400" s="9" t="str">
        <f t="shared" si="74"/>
        <v>20351276791</v>
      </c>
      <c r="G400" s="9">
        <f t="shared" si="76"/>
        <v>0</v>
      </c>
      <c r="H400" s="9">
        <f t="shared" si="75"/>
        <v>0</v>
      </c>
      <c r="I400"/>
      <c r="AV400">
        <v>399</v>
      </c>
      <c r="AW400" t="s">
        <v>244</v>
      </c>
    </row>
    <row r="401" spans="1:49">
      <c r="A401" s="9">
        <v>400</v>
      </c>
      <c r="B401" s="9" t="s">
        <v>156</v>
      </c>
      <c r="C401" s="10">
        <v>9142270568</v>
      </c>
      <c r="D401" s="9" t="s">
        <v>280</v>
      </c>
      <c r="E401" s="9">
        <f>COUNTIF($C$1:C401,C401)</f>
        <v>5</v>
      </c>
      <c r="F401" s="9" t="str">
        <f t="shared" si="74"/>
        <v>91422705685</v>
      </c>
      <c r="G401" s="9">
        <f t="shared" si="76"/>
        <v>0</v>
      </c>
      <c r="H401" s="9">
        <f t="shared" si="75"/>
        <v>0</v>
      </c>
      <c r="I401"/>
      <c r="AV401">
        <v>400</v>
      </c>
      <c r="AW401" t="s">
        <v>156</v>
      </c>
    </row>
    <row r="402" spans="1:49">
      <c r="A402" s="9">
        <v>401</v>
      </c>
      <c r="B402" s="9" t="s">
        <v>245</v>
      </c>
      <c r="C402" s="10">
        <v>2036838414</v>
      </c>
      <c r="D402" s="9" t="s">
        <v>280</v>
      </c>
      <c r="E402" s="9">
        <f>COUNTIF($C$1:C402,C402)</f>
        <v>1</v>
      </c>
      <c r="F402" s="9" t="str">
        <f t="shared" si="74"/>
        <v>20368384141</v>
      </c>
      <c r="G402" s="9">
        <f t="shared" si="76"/>
        <v>0</v>
      </c>
      <c r="H402" s="9">
        <f t="shared" si="75"/>
        <v>0</v>
      </c>
      <c r="I402"/>
      <c r="AV402">
        <v>401</v>
      </c>
      <c r="AW402" t="s">
        <v>245</v>
      </c>
    </row>
    <row r="403" spans="1:49">
      <c r="A403" s="9">
        <v>402</v>
      </c>
      <c r="B403" s="9"/>
      <c r="C403" s="10"/>
      <c r="D403" s="9"/>
      <c r="E403" s="9">
        <f>COUNTIF($C$1:C403,C403)</f>
        <v>0</v>
      </c>
      <c r="F403" s="9" t="str">
        <f t="shared" si="74"/>
        <v>0</v>
      </c>
      <c r="G403" s="9">
        <f t="shared" si="76"/>
        <v>0</v>
      </c>
      <c r="H403" s="9">
        <f t="shared" si="75"/>
        <v>0</v>
      </c>
      <c r="I403"/>
      <c r="AV403">
        <v>402</v>
      </c>
    </row>
    <row r="404" spans="1:49">
      <c r="A404" s="9">
        <v>403</v>
      </c>
      <c r="B404" s="9" t="s">
        <v>246</v>
      </c>
      <c r="C404" s="10">
        <v>7327684454</v>
      </c>
      <c r="D404" s="9" t="s">
        <v>280</v>
      </c>
      <c r="E404" s="9">
        <f>COUNTIF($C$1:C404,C404)</f>
        <v>1</v>
      </c>
      <c r="F404" s="9" t="str">
        <f t="shared" si="74"/>
        <v>73276844541</v>
      </c>
      <c r="G404" s="9">
        <f t="shared" si="76"/>
        <v>0</v>
      </c>
      <c r="H404" s="9">
        <f t="shared" si="75"/>
        <v>0</v>
      </c>
      <c r="I404"/>
      <c r="AV404">
        <v>403</v>
      </c>
      <c r="AW404" t="s">
        <v>246</v>
      </c>
    </row>
    <row r="405" spans="1:49">
      <c r="A405" s="9">
        <v>404</v>
      </c>
      <c r="B405" s="9"/>
      <c r="C405" s="10"/>
      <c r="D405" s="9"/>
      <c r="E405" s="9">
        <f>COUNTIF($C$1:C405,C405)</f>
        <v>0</v>
      </c>
      <c r="F405" s="9" t="str">
        <f t="shared" si="74"/>
        <v>0</v>
      </c>
      <c r="G405" s="9">
        <f t="shared" si="76"/>
        <v>0</v>
      </c>
      <c r="H405" s="9">
        <f t="shared" si="75"/>
        <v>0</v>
      </c>
      <c r="I405"/>
      <c r="AV405">
        <v>404</v>
      </c>
    </row>
    <row r="406" spans="1:49">
      <c r="A406" s="9">
        <v>405</v>
      </c>
      <c r="B406" s="9" t="s">
        <v>241</v>
      </c>
      <c r="C406" s="10">
        <v>4752065818</v>
      </c>
      <c r="D406" s="9" t="s">
        <v>280</v>
      </c>
      <c r="E406" s="9">
        <f>COUNTIF($C$1:C406,C406)</f>
        <v>3</v>
      </c>
      <c r="F406" s="9" t="str">
        <f t="shared" si="74"/>
        <v>47520658183</v>
      </c>
      <c r="G406" s="9">
        <f t="shared" si="76"/>
        <v>0</v>
      </c>
      <c r="H406" s="9">
        <f t="shared" si="75"/>
        <v>0</v>
      </c>
      <c r="I406"/>
      <c r="AV406">
        <v>405</v>
      </c>
      <c r="AW406" t="s">
        <v>241</v>
      </c>
    </row>
    <row r="407" spans="1:49">
      <c r="A407" s="9">
        <v>406</v>
      </c>
      <c r="B407" s="9" t="s">
        <v>176</v>
      </c>
      <c r="C407" s="10">
        <v>9147602272</v>
      </c>
      <c r="D407" s="9" t="s">
        <v>280</v>
      </c>
      <c r="E407" s="9">
        <f>COUNTIF($C$1:C407,C407)</f>
        <v>7</v>
      </c>
      <c r="F407" s="9" t="str">
        <f t="shared" si="74"/>
        <v>91476022727</v>
      </c>
      <c r="G407" s="9">
        <f t="shared" si="76"/>
        <v>0</v>
      </c>
      <c r="H407" s="9">
        <f t="shared" si="75"/>
        <v>0</v>
      </c>
      <c r="I407"/>
      <c r="AV407">
        <v>406</v>
      </c>
      <c r="AW407" t="s">
        <v>176</v>
      </c>
    </row>
    <row r="408" spans="1:49">
      <c r="A408" s="9">
        <v>407</v>
      </c>
      <c r="B408" s="9" t="s">
        <v>247</v>
      </c>
      <c r="C408" s="10">
        <v>8453066909</v>
      </c>
      <c r="D408" s="9" t="s">
        <v>280</v>
      </c>
      <c r="E408" s="9">
        <f>COUNTIF($C$1:C408,C408)</f>
        <v>1</v>
      </c>
      <c r="F408" s="9" t="str">
        <f t="shared" si="74"/>
        <v>84530669091</v>
      </c>
      <c r="G408" s="9">
        <f t="shared" si="76"/>
        <v>0</v>
      </c>
      <c r="H408" s="9">
        <f t="shared" si="75"/>
        <v>0</v>
      </c>
      <c r="I408"/>
      <c r="AV408">
        <v>407</v>
      </c>
      <c r="AW408" t="s">
        <v>247</v>
      </c>
    </row>
    <row r="409" spans="1:49">
      <c r="A409" s="9">
        <v>408</v>
      </c>
      <c r="B409" s="9"/>
      <c r="C409" s="10"/>
      <c r="D409" s="9"/>
      <c r="E409" s="9">
        <f>COUNTIF($C$1:C409,C409)</f>
        <v>0</v>
      </c>
      <c r="F409" s="9" t="str">
        <f t="shared" si="74"/>
        <v>0</v>
      </c>
      <c r="G409" s="9">
        <f t="shared" si="76"/>
        <v>0</v>
      </c>
      <c r="H409" s="9">
        <f t="shared" si="75"/>
        <v>0</v>
      </c>
      <c r="I409"/>
      <c r="AV409">
        <v>408</v>
      </c>
    </row>
    <row r="410" spans="1:49">
      <c r="A410" s="9">
        <v>409</v>
      </c>
      <c r="B410" s="9"/>
      <c r="C410" s="10"/>
      <c r="D410" s="9"/>
      <c r="E410" s="9">
        <f>COUNTIF($C$1:C410,C410)</f>
        <v>0</v>
      </c>
      <c r="F410" s="9" t="str">
        <f t="shared" si="74"/>
        <v>0</v>
      </c>
      <c r="G410" s="9">
        <f t="shared" si="76"/>
        <v>0</v>
      </c>
      <c r="H410" s="9">
        <f t="shared" si="75"/>
        <v>0</v>
      </c>
      <c r="I410"/>
      <c r="AV410">
        <v>409</v>
      </c>
    </row>
    <row r="411" spans="1:49">
      <c r="A411" s="9">
        <v>410</v>
      </c>
      <c r="B411" s="9" t="s">
        <v>248</v>
      </c>
      <c r="C411" s="10">
        <v>5515879636</v>
      </c>
      <c r="D411" s="9" t="s">
        <v>280</v>
      </c>
      <c r="E411" s="9">
        <f>COUNTIF($C$1:C411,C411)</f>
        <v>2</v>
      </c>
      <c r="F411" s="9" t="str">
        <f t="shared" si="74"/>
        <v>55158796362</v>
      </c>
      <c r="G411" s="9">
        <f t="shared" si="76"/>
        <v>0</v>
      </c>
      <c r="H411" s="9">
        <f t="shared" si="75"/>
        <v>0</v>
      </c>
      <c r="I411"/>
      <c r="AV411">
        <v>410</v>
      </c>
      <c r="AW411" t="s">
        <v>248</v>
      </c>
    </row>
    <row r="412" spans="1:49">
      <c r="A412" s="9">
        <v>411</v>
      </c>
      <c r="B412" s="9" t="s">
        <v>240</v>
      </c>
      <c r="C412" s="10">
        <v>9148302799</v>
      </c>
      <c r="D412" s="9" t="s">
        <v>280</v>
      </c>
      <c r="E412" s="9">
        <f>COUNTIF($C$1:C412,C412)</f>
        <v>3</v>
      </c>
      <c r="F412" s="9" t="str">
        <f t="shared" si="74"/>
        <v>91483027993</v>
      </c>
      <c r="G412" s="9">
        <f t="shared" si="76"/>
        <v>1</v>
      </c>
      <c r="H412" s="9">
        <f t="shared" si="75"/>
        <v>0</v>
      </c>
      <c r="I412"/>
      <c r="AV412">
        <v>411</v>
      </c>
      <c r="AW412" t="s">
        <v>240</v>
      </c>
    </row>
    <row r="413" spans="1:49">
      <c r="A413" s="9">
        <v>412</v>
      </c>
      <c r="B413" s="9"/>
      <c r="C413" s="10"/>
      <c r="D413" s="9"/>
      <c r="E413" s="9">
        <f>COUNTIF($C$1:C413,C413)</f>
        <v>0</v>
      </c>
      <c r="F413" s="9" t="str">
        <f t="shared" si="74"/>
        <v>0</v>
      </c>
      <c r="G413" s="9">
        <f t="shared" si="76"/>
        <v>0</v>
      </c>
      <c r="H413" s="9">
        <f t="shared" si="75"/>
        <v>0</v>
      </c>
      <c r="I413"/>
      <c r="AV413">
        <v>412</v>
      </c>
    </row>
    <row r="414" spans="1:49">
      <c r="A414" s="9">
        <v>413</v>
      </c>
      <c r="B414" s="9" t="s">
        <v>249</v>
      </c>
      <c r="C414" s="10">
        <v>2036908251</v>
      </c>
      <c r="D414" s="9" t="s">
        <v>280</v>
      </c>
      <c r="E414" s="9">
        <f>COUNTIF($C$1:C414,C414)</f>
        <v>2</v>
      </c>
      <c r="F414" s="9" t="str">
        <f t="shared" si="74"/>
        <v>20369082512</v>
      </c>
      <c r="G414" s="9">
        <f t="shared" si="76"/>
        <v>0</v>
      </c>
      <c r="H414" s="9">
        <f t="shared" si="75"/>
        <v>0</v>
      </c>
      <c r="I414"/>
      <c r="AV414">
        <v>413</v>
      </c>
      <c r="AW414" t="s">
        <v>249</v>
      </c>
    </row>
    <row r="415" spans="1:49">
      <c r="A415" s="9">
        <v>414</v>
      </c>
      <c r="B415" s="9" t="s">
        <v>250</v>
      </c>
      <c r="C415" s="10">
        <v>2036825960</v>
      </c>
      <c r="D415" s="9" t="s">
        <v>280</v>
      </c>
      <c r="E415" s="9">
        <f>COUNTIF($C$1:C415,C415)</f>
        <v>1</v>
      </c>
      <c r="F415" s="9" t="str">
        <f t="shared" si="74"/>
        <v>20368259601</v>
      </c>
      <c r="G415" s="9">
        <f t="shared" si="76"/>
        <v>0</v>
      </c>
      <c r="H415" s="9">
        <f t="shared" si="75"/>
        <v>0</v>
      </c>
      <c r="I415"/>
      <c r="AV415">
        <v>414</v>
      </c>
      <c r="AW415" t="s">
        <v>250</v>
      </c>
    </row>
    <row r="416" spans="1:49">
      <c r="A416" s="9">
        <v>415</v>
      </c>
      <c r="B416" s="9"/>
      <c r="C416" s="10"/>
      <c r="D416" s="9"/>
      <c r="E416" s="9">
        <f>COUNTIF($C$1:C416,C416)</f>
        <v>0</v>
      </c>
      <c r="F416" s="9" t="str">
        <f t="shared" si="74"/>
        <v>0</v>
      </c>
      <c r="G416" s="9">
        <f t="shared" si="76"/>
        <v>0</v>
      </c>
      <c r="H416" s="9">
        <f t="shared" si="75"/>
        <v>0</v>
      </c>
      <c r="I416"/>
      <c r="AV416">
        <v>415</v>
      </c>
    </row>
    <row r="417" spans="1:49">
      <c r="A417" s="9">
        <v>416</v>
      </c>
      <c r="B417" s="9" t="s">
        <v>211</v>
      </c>
      <c r="C417" s="10">
        <v>9143190338</v>
      </c>
      <c r="D417" s="9" t="s">
        <v>280</v>
      </c>
      <c r="E417" s="9">
        <f>COUNTIF($C$1:C417,C417)</f>
        <v>3</v>
      </c>
      <c r="F417" s="9" t="str">
        <f t="shared" si="74"/>
        <v>91431903383</v>
      </c>
      <c r="G417" s="9">
        <f t="shared" si="76"/>
        <v>0</v>
      </c>
      <c r="H417" s="9">
        <f t="shared" si="75"/>
        <v>0</v>
      </c>
      <c r="I417"/>
      <c r="AV417">
        <v>416</v>
      </c>
      <c r="AW417" t="s">
        <v>211</v>
      </c>
    </row>
    <row r="418" spans="1:49">
      <c r="A418" s="9">
        <v>417</v>
      </c>
      <c r="B418" s="9" t="s">
        <v>251</v>
      </c>
      <c r="C418" s="10">
        <v>5511961917900</v>
      </c>
      <c r="D418" s="9" t="s">
        <v>280</v>
      </c>
      <c r="E418" s="9">
        <f>COUNTIF($C$1:C418,C418)</f>
        <v>4</v>
      </c>
      <c r="F418" s="9" t="str">
        <f t="shared" si="74"/>
        <v>55119619179004</v>
      </c>
      <c r="G418" s="9">
        <f t="shared" si="76"/>
        <v>0</v>
      </c>
      <c r="H418" s="9">
        <f t="shared" si="75"/>
        <v>0</v>
      </c>
      <c r="I418"/>
      <c r="AV418">
        <v>417</v>
      </c>
      <c r="AW418" t="s">
        <v>251</v>
      </c>
    </row>
    <row r="419" spans="1:49">
      <c r="A419" s="9">
        <v>418</v>
      </c>
      <c r="B419" s="9"/>
      <c r="C419" s="10"/>
      <c r="D419" s="9"/>
      <c r="E419" s="9">
        <f>COUNTIF($C$1:C419,C419)</f>
        <v>0</v>
      </c>
      <c r="F419" s="9" t="str">
        <f t="shared" si="74"/>
        <v>0</v>
      </c>
      <c r="G419" s="9">
        <f t="shared" si="76"/>
        <v>0</v>
      </c>
      <c r="H419" s="9">
        <f t="shared" si="75"/>
        <v>0</v>
      </c>
      <c r="I419"/>
      <c r="AV419">
        <v>418</v>
      </c>
    </row>
    <row r="420" spans="1:49">
      <c r="A420" s="9">
        <v>419</v>
      </c>
      <c r="B420" s="9"/>
      <c r="C420" s="10"/>
      <c r="D420" s="9"/>
      <c r="E420" s="9">
        <f>COUNTIF($C$1:C420,C420)</f>
        <v>0</v>
      </c>
      <c r="F420" s="9" t="str">
        <f t="shared" si="74"/>
        <v>0</v>
      </c>
      <c r="G420" s="9">
        <f t="shared" si="76"/>
        <v>0</v>
      </c>
      <c r="H420" s="9">
        <f t="shared" si="75"/>
        <v>0</v>
      </c>
      <c r="I420"/>
      <c r="AV420">
        <v>419</v>
      </c>
    </row>
    <row r="421" spans="1:49">
      <c r="A421" s="9">
        <v>420</v>
      </c>
      <c r="B421" s="9" t="s">
        <v>135</v>
      </c>
      <c r="C421" s="10">
        <v>2035406751</v>
      </c>
      <c r="D421" s="9" t="s">
        <v>280</v>
      </c>
      <c r="E421" s="9">
        <f>COUNTIF($C$1:C421,C421)</f>
        <v>3</v>
      </c>
      <c r="F421" s="9" t="str">
        <f t="shared" si="74"/>
        <v>20354067513</v>
      </c>
      <c r="G421" s="9">
        <f t="shared" si="76"/>
        <v>1</v>
      </c>
      <c r="H421" s="9">
        <f t="shared" si="75"/>
        <v>0</v>
      </c>
      <c r="I421"/>
      <c r="AV421">
        <v>420</v>
      </c>
      <c r="AW421" t="s">
        <v>135</v>
      </c>
    </row>
    <row r="422" spans="1:49">
      <c r="A422" s="9">
        <v>421</v>
      </c>
      <c r="B422" s="9" t="s">
        <v>101</v>
      </c>
      <c r="C422" s="10">
        <v>4752368737</v>
      </c>
      <c r="D422" s="9" t="s">
        <v>280</v>
      </c>
      <c r="E422" s="9">
        <f>COUNTIF($C$1:C422,C422)</f>
        <v>3</v>
      </c>
      <c r="F422" s="9" t="str">
        <f t="shared" si="74"/>
        <v>47523687373</v>
      </c>
      <c r="G422" s="9">
        <f t="shared" si="76"/>
        <v>0</v>
      </c>
      <c r="H422" s="9">
        <f t="shared" si="75"/>
        <v>0</v>
      </c>
      <c r="I422"/>
      <c r="AV422">
        <v>421</v>
      </c>
      <c r="AW422" t="s">
        <v>101</v>
      </c>
    </row>
    <row r="423" spans="1:49">
      <c r="A423" s="9">
        <v>422</v>
      </c>
      <c r="B423" s="9" t="s">
        <v>252</v>
      </c>
      <c r="C423" s="10">
        <v>9145654492</v>
      </c>
      <c r="D423" s="9" t="s">
        <v>280</v>
      </c>
      <c r="E423" s="9">
        <f>COUNTIF($C$1:C423,C423)</f>
        <v>1</v>
      </c>
      <c r="F423" s="9" t="str">
        <f t="shared" si="74"/>
        <v>91456544921</v>
      </c>
      <c r="G423" s="9">
        <f t="shared" si="76"/>
        <v>0</v>
      </c>
      <c r="H423" s="9">
        <f t="shared" si="75"/>
        <v>0</v>
      </c>
      <c r="I423"/>
      <c r="AV423">
        <v>422</v>
      </c>
      <c r="AW423" t="s">
        <v>252</v>
      </c>
    </row>
    <row r="424" spans="1:49">
      <c r="A424" s="9">
        <v>423</v>
      </c>
      <c r="B424" s="9" t="s">
        <v>253</v>
      </c>
      <c r="C424" s="10">
        <v>2039534887</v>
      </c>
      <c r="D424" s="9" t="s">
        <v>280</v>
      </c>
      <c r="E424" s="9">
        <f>COUNTIF($C$1:C424,C424)</f>
        <v>3</v>
      </c>
      <c r="F424" s="9" t="str">
        <f t="shared" si="74"/>
        <v>20395348873</v>
      </c>
      <c r="G424" s="9">
        <f t="shared" si="76"/>
        <v>1</v>
      </c>
      <c r="H424" s="9">
        <f t="shared" si="75"/>
        <v>0</v>
      </c>
      <c r="I424"/>
      <c r="AV424">
        <v>423</v>
      </c>
      <c r="AW424" t="s">
        <v>253</v>
      </c>
    </row>
    <row r="425" spans="1:49">
      <c r="A425" s="9">
        <v>424</v>
      </c>
      <c r="B425" s="9"/>
      <c r="C425" s="10"/>
      <c r="D425" s="9"/>
      <c r="E425" s="9">
        <f>COUNTIF($C$1:C425,C425)</f>
        <v>0</v>
      </c>
      <c r="F425" s="9" t="str">
        <f t="shared" si="74"/>
        <v>0</v>
      </c>
      <c r="G425" s="9">
        <f t="shared" si="76"/>
        <v>0</v>
      </c>
      <c r="H425" s="9">
        <f t="shared" si="75"/>
        <v>0</v>
      </c>
      <c r="I425"/>
      <c r="AV425">
        <v>424</v>
      </c>
    </row>
    <row r="426" spans="1:49">
      <c r="A426" s="9">
        <v>425</v>
      </c>
      <c r="B426" s="9" t="s">
        <v>254</v>
      </c>
      <c r="C426" s="10">
        <v>9144061023</v>
      </c>
      <c r="D426" s="9" t="s">
        <v>280</v>
      </c>
      <c r="E426" s="9">
        <f>COUNTIF($C$1:C426,C426)</f>
        <v>1</v>
      </c>
      <c r="F426" s="9" t="str">
        <f t="shared" si="74"/>
        <v>91440610231</v>
      </c>
      <c r="G426" s="9">
        <f t="shared" si="76"/>
        <v>0</v>
      </c>
      <c r="H426" s="9">
        <f t="shared" si="75"/>
        <v>0</v>
      </c>
      <c r="I426"/>
      <c r="AV426">
        <v>425</v>
      </c>
      <c r="AW426" t="s">
        <v>254</v>
      </c>
    </row>
    <row r="427" spans="1:49">
      <c r="A427" s="9">
        <v>426</v>
      </c>
      <c r="B427" s="9" t="s">
        <v>255</v>
      </c>
      <c r="C427" s="10">
        <v>2038982085</v>
      </c>
      <c r="D427" s="9" t="s">
        <v>280</v>
      </c>
      <c r="E427" s="9">
        <f>COUNTIF($C$1:C427,C427)</f>
        <v>1</v>
      </c>
      <c r="F427" s="9" t="str">
        <f t="shared" si="74"/>
        <v>20389820851</v>
      </c>
      <c r="G427" s="9">
        <f t="shared" si="76"/>
        <v>0</v>
      </c>
      <c r="H427" s="9">
        <f t="shared" si="75"/>
        <v>0</v>
      </c>
      <c r="I427"/>
      <c r="AV427">
        <v>426</v>
      </c>
      <c r="AW427" t="s">
        <v>255</v>
      </c>
    </row>
    <row r="428" spans="1:49">
      <c r="A428" s="9">
        <v>427</v>
      </c>
      <c r="B428" s="9"/>
      <c r="C428" s="10"/>
      <c r="D428" s="9"/>
      <c r="E428" s="9">
        <f>COUNTIF($C$1:C428,C428)</f>
        <v>0</v>
      </c>
      <c r="F428" s="9" t="str">
        <f t="shared" si="74"/>
        <v>0</v>
      </c>
      <c r="G428" s="9">
        <f t="shared" si="76"/>
        <v>0</v>
      </c>
      <c r="H428" s="9">
        <f t="shared" si="75"/>
        <v>0</v>
      </c>
      <c r="I428"/>
      <c r="AV428">
        <v>427</v>
      </c>
    </row>
    <row r="429" spans="1:49">
      <c r="A429" s="9">
        <v>428</v>
      </c>
      <c r="B429" s="9" t="s">
        <v>256</v>
      </c>
      <c r="C429" s="10">
        <v>9144381725</v>
      </c>
      <c r="D429" s="9" t="s">
        <v>280</v>
      </c>
      <c r="E429" s="9">
        <f>COUNTIF($C$1:C429,C429)</f>
        <v>3</v>
      </c>
      <c r="F429" s="9" t="str">
        <f t="shared" si="74"/>
        <v>91443817253</v>
      </c>
      <c r="G429" s="9">
        <f t="shared" si="76"/>
        <v>0</v>
      </c>
      <c r="H429" s="9">
        <f t="shared" si="75"/>
        <v>0</v>
      </c>
      <c r="I429"/>
      <c r="AV429">
        <v>428</v>
      </c>
      <c r="AW429" t="s">
        <v>256</v>
      </c>
    </row>
    <row r="430" spans="1:49">
      <c r="A430" s="9">
        <v>429</v>
      </c>
      <c r="B430" s="9" t="s">
        <v>257</v>
      </c>
      <c r="C430" s="10"/>
      <c r="D430" s="9"/>
      <c r="E430" s="9">
        <f>COUNTIF($C$1:C430,C430)</f>
        <v>0</v>
      </c>
      <c r="F430" s="9" t="str">
        <f t="shared" si="74"/>
        <v>0</v>
      </c>
      <c r="G430" s="9">
        <f t="shared" si="76"/>
        <v>0</v>
      </c>
      <c r="H430" s="9">
        <f t="shared" si="75"/>
        <v>0</v>
      </c>
      <c r="I430"/>
      <c r="AV430">
        <v>429</v>
      </c>
      <c r="AW430" t="s">
        <v>257</v>
      </c>
    </row>
    <row r="431" spans="1:49">
      <c r="A431" s="9">
        <v>430</v>
      </c>
      <c r="B431" s="9" t="s">
        <v>258</v>
      </c>
      <c r="C431" s="10">
        <v>9144904255</v>
      </c>
      <c r="D431" s="9" t="s">
        <v>280</v>
      </c>
      <c r="E431" s="9">
        <f>COUNTIF($C$1:C431,C431)</f>
        <v>6</v>
      </c>
      <c r="F431" s="9" t="str">
        <f t="shared" si="74"/>
        <v>91449042556</v>
      </c>
      <c r="G431" s="9">
        <f t="shared" si="76"/>
        <v>1</v>
      </c>
      <c r="H431" s="9">
        <f t="shared" si="75"/>
        <v>0</v>
      </c>
      <c r="I431"/>
      <c r="AV431">
        <v>430</v>
      </c>
      <c r="AW431" t="s">
        <v>258</v>
      </c>
    </row>
    <row r="432" spans="1:49">
      <c r="A432" s="9">
        <v>431</v>
      </c>
      <c r="B432" s="9"/>
      <c r="C432" s="10"/>
      <c r="D432" s="9"/>
      <c r="E432" s="9">
        <f>COUNTIF($C$1:C432,C432)</f>
        <v>0</v>
      </c>
      <c r="F432" s="9" t="str">
        <f t="shared" si="74"/>
        <v>0</v>
      </c>
      <c r="G432" s="9">
        <f t="shared" si="76"/>
        <v>0</v>
      </c>
      <c r="H432" s="9">
        <f t="shared" si="75"/>
        <v>0</v>
      </c>
      <c r="I432"/>
      <c r="AV432">
        <v>431</v>
      </c>
    </row>
    <row r="433" spans="1:49">
      <c r="A433" s="9">
        <v>432</v>
      </c>
      <c r="B433" s="9" t="s">
        <v>259</v>
      </c>
      <c r="C433" s="10">
        <v>9145226788</v>
      </c>
      <c r="D433" s="9" t="s">
        <v>280</v>
      </c>
      <c r="E433" s="9">
        <f>COUNTIF($C$1:C433,C433)</f>
        <v>1</v>
      </c>
      <c r="F433" s="9" t="str">
        <f t="shared" si="74"/>
        <v>91452267881</v>
      </c>
      <c r="G433" s="9">
        <f t="shared" si="76"/>
        <v>1</v>
      </c>
      <c r="H433" s="9">
        <f t="shared" si="75"/>
        <v>0</v>
      </c>
      <c r="I433"/>
      <c r="AV433">
        <v>432</v>
      </c>
      <c r="AW433" t="s">
        <v>259</v>
      </c>
    </row>
    <row r="434" spans="1:49">
      <c r="A434" s="9">
        <v>433</v>
      </c>
      <c r="B434" s="9"/>
      <c r="C434" s="10"/>
      <c r="D434" s="9"/>
      <c r="E434" s="9">
        <f>COUNTIF($C$1:C434,C434)</f>
        <v>0</v>
      </c>
      <c r="F434" s="9" t="str">
        <f t="shared" si="74"/>
        <v>0</v>
      </c>
      <c r="G434" s="9">
        <f t="shared" si="76"/>
        <v>0</v>
      </c>
      <c r="H434" s="9">
        <f t="shared" si="75"/>
        <v>0</v>
      </c>
      <c r="I434"/>
      <c r="AV434">
        <v>433</v>
      </c>
    </row>
    <row r="435" spans="1:49">
      <c r="A435" s="9">
        <v>434</v>
      </c>
      <c r="B435" s="9" t="s">
        <v>260</v>
      </c>
      <c r="C435" s="10">
        <v>2036908251</v>
      </c>
      <c r="D435" s="9" t="s">
        <v>280</v>
      </c>
      <c r="E435" s="9">
        <f>COUNTIF($C$1:C435,C435)</f>
        <v>3</v>
      </c>
      <c r="F435" s="9" t="str">
        <f t="shared" si="74"/>
        <v>20369082513</v>
      </c>
      <c r="G435" s="9">
        <f t="shared" si="76"/>
        <v>0</v>
      </c>
      <c r="H435" s="9">
        <f t="shared" si="75"/>
        <v>0</v>
      </c>
      <c r="I435"/>
      <c r="AV435">
        <v>434</v>
      </c>
      <c r="AW435" t="s">
        <v>260</v>
      </c>
    </row>
    <row r="436" spans="1:49">
      <c r="A436" s="9">
        <v>435</v>
      </c>
      <c r="B436" s="9"/>
      <c r="C436" s="10"/>
      <c r="D436" s="9"/>
      <c r="E436" s="9">
        <f>COUNTIF($C$1:C436,C436)</f>
        <v>0</v>
      </c>
      <c r="F436" s="9" t="str">
        <f t="shared" si="74"/>
        <v>0</v>
      </c>
      <c r="G436" s="9">
        <f t="shared" si="76"/>
        <v>0</v>
      </c>
      <c r="H436" s="9">
        <f t="shared" si="75"/>
        <v>0</v>
      </c>
      <c r="I436"/>
      <c r="AV436">
        <v>435</v>
      </c>
    </row>
    <row r="437" spans="1:49">
      <c r="A437" s="9">
        <v>436</v>
      </c>
      <c r="B437" s="9"/>
      <c r="C437" s="10"/>
      <c r="D437" s="9"/>
      <c r="E437" s="9">
        <f>COUNTIF($C$1:C437,C437)</f>
        <v>0</v>
      </c>
      <c r="F437" s="9" t="str">
        <f t="shared" si="74"/>
        <v>0</v>
      </c>
      <c r="G437" s="9">
        <f t="shared" si="76"/>
        <v>0</v>
      </c>
      <c r="H437" s="9">
        <f t="shared" si="75"/>
        <v>0</v>
      </c>
      <c r="I437"/>
      <c r="AV437">
        <v>436</v>
      </c>
    </row>
    <row r="438" spans="1:49">
      <c r="A438" s="9">
        <v>437</v>
      </c>
      <c r="B438" s="9"/>
      <c r="C438" s="10"/>
      <c r="D438" s="9"/>
      <c r="E438" s="9">
        <f>COUNTIF($C$1:C438,C438)</f>
        <v>0</v>
      </c>
      <c r="F438" s="9" t="str">
        <f t="shared" si="74"/>
        <v>0</v>
      </c>
      <c r="G438" s="9">
        <f t="shared" si="76"/>
        <v>0</v>
      </c>
      <c r="H438" s="9">
        <f t="shared" si="75"/>
        <v>0</v>
      </c>
      <c r="I438"/>
      <c r="AV438">
        <v>437</v>
      </c>
    </row>
    <row r="439" spans="1:49">
      <c r="A439" s="9">
        <v>438</v>
      </c>
      <c r="B439" s="9"/>
      <c r="C439" s="10"/>
      <c r="D439" s="9"/>
      <c r="E439" s="9">
        <f>COUNTIF($C$1:C439,C439)</f>
        <v>0</v>
      </c>
      <c r="F439" s="9" t="str">
        <f t="shared" si="74"/>
        <v>0</v>
      </c>
      <c r="G439" s="9">
        <f t="shared" si="76"/>
        <v>0</v>
      </c>
      <c r="H439" s="9">
        <f t="shared" si="75"/>
        <v>0</v>
      </c>
      <c r="I439"/>
      <c r="AV439">
        <v>438</v>
      </c>
    </row>
    <row r="440" spans="1:49">
      <c r="A440" s="9">
        <v>439</v>
      </c>
      <c r="B440" s="9" t="s">
        <v>255</v>
      </c>
      <c r="C440" s="10">
        <v>2038982085</v>
      </c>
      <c r="D440" s="9" t="s">
        <v>280</v>
      </c>
      <c r="E440" s="9">
        <f>COUNTIF($C$1:C440,C440)</f>
        <v>2</v>
      </c>
      <c r="F440" s="9" t="str">
        <f t="shared" si="74"/>
        <v>20389820852</v>
      </c>
      <c r="G440" s="9">
        <f t="shared" si="76"/>
        <v>0</v>
      </c>
      <c r="H440" s="9">
        <f t="shared" si="75"/>
        <v>0</v>
      </c>
      <c r="I440"/>
      <c r="AV440">
        <v>439</v>
      </c>
      <c r="AW440" t="s">
        <v>255</v>
      </c>
    </row>
    <row r="441" spans="1:49">
      <c r="A441" s="9">
        <v>440</v>
      </c>
      <c r="B441" s="9"/>
      <c r="C441" s="10"/>
      <c r="D441" s="9"/>
      <c r="E441" s="9">
        <f>COUNTIF($C$1:C441,C441)</f>
        <v>0</v>
      </c>
      <c r="F441" s="9" t="str">
        <f t="shared" si="74"/>
        <v>0</v>
      </c>
      <c r="G441" s="9">
        <f t="shared" si="76"/>
        <v>0</v>
      </c>
      <c r="H441" s="9">
        <f t="shared" si="75"/>
        <v>0</v>
      </c>
      <c r="I441"/>
      <c r="AV441">
        <v>440</v>
      </c>
    </row>
    <row r="442" spans="1:49">
      <c r="A442" s="9">
        <v>441</v>
      </c>
      <c r="B442" s="9"/>
      <c r="C442" s="10"/>
      <c r="D442" s="9"/>
      <c r="E442" s="9">
        <f>COUNTIF($C$1:C442,C442)</f>
        <v>0</v>
      </c>
      <c r="F442" s="9" t="str">
        <f t="shared" si="74"/>
        <v>0</v>
      </c>
      <c r="G442" s="9">
        <f t="shared" si="76"/>
        <v>0</v>
      </c>
      <c r="H442" s="9">
        <f t="shared" si="75"/>
        <v>0</v>
      </c>
      <c r="I442"/>
      <c r="AV442">
        <v>441</v>
      </c>
    </row>
    <row r="443" spans="1:49">
      <c r="A443" s="9">
        <v>442</v>
      </c>
      <c r="B443" s="9" t="s">
        <v>261</v>
      </c>
      <c r="C443" s="10">
        <v>5511961917900</v>
      </c>
      <c r="D443" s="9" t="s">
        <v>280</v>
      </c>
      <c r="E443" s="9">
        <f>COUNTIF($C$1:C443,C443)</f>
        <v>5</v>
      </c>
      <c r="F443" s="9" t="str">
        <f t="shared" si="74"/>
        <v>55119619179005</v>
      </c>
      <c r="G443" s="9">
        <f t="shared" si="76"/>
        <v>0</v>
      </c>
      <c r="H443" s="9">
        <f t="shared" si="75"/>
        <v>0</v>
      </c>
      <c r="I443"/>
      <c r="AV443">
        <v>442</v>
      </c>
      <c r="AW443" t="s">
        <v>261</v>
      </c>
    </row>
    <row r="444" spans="1:49">
      <c r="A444" s="9">
        <v>443</v>
      </c>
      <c r="B444" s="9"/>
      <c r="C444" s="10"/>
      <c r="D444" s="9"/>
      <c r="E444" s="9">
        <f>COUNTIF($C$1:C444,C444)</f>
        <v>0</v>
      </c>
      <c r="F444" s="9" t="str">
        <f t="shared" si="74"/>
        <v>0</v>
      </c>
      <c r="G444" s="9">
        <f t="shared" si="76"/>
        <v>0</v>
      </c>
      <c r="H444" s="9">
        <f t="shared" si="75"/>
        <v>0</v>
      </c>
      <c r="I444"/>
      <c r="AV444">
        <v>443</v>
      </c>
    </row>
    <row r="445" spans="1:49">
      <c r="A445" s="9">
        <v>444</v>
      </c>
      <c r="B445" s="9" t="s">
        <v>307</v>
      </c>
      <c r="C445" s="10">
        <v>4754496806</v>
      </c>
      <c r="D445" s="9" t="s">
        <v>280</v>
      </c>
      <c r="E445" s="9">
        <f>COUNTIF($C$1:C445,C445)</f>
        <v>2</v>
      </c>
      <c r="F445" s="9" t="str">
        <f t="shared" si="74"/>
        <v>47544968062</v>
      </c>
      <c r="G445" s="9">
        <f t="shared" si="76"/>
        <v>1</v>
      </c>
      <c r="H445" s="9">
        <f t="shared" si="75"/>
        <v>0</v>
      </c>
      <c r="I445"/>
      <c r="AV445">
        <v>444</v>
      </c>
      <c r="AW445" t="s">
        <v>262</v>
      </c>
    </row>
    <row r="446" spans="1:49">
      <c r="A446" s="9">
        <v>445</v>
      </c>
      <c r="B446" s="9"/>
      <c r="C446" s="10"/>
      <c r="D446" s="9"/>
      <c r="E446" s="9">
        <f>COUNTIF($C$1:C446,C446)</f>
        <v>0</v>
      </c>
      <c r="F446" s="9" t="str">
        <f t="shared" si="74"/>
        <v>0</v>
      </c>
      <c r="G446" s="9">
        <f t="shared" si="76"/>
        <v>0</v>
      </c>
      <c r="H446" s="9">
        <f t="shared" si="75"/>
        <v>0</v>
      </c>
      <c r="I446"/>
      <c r="AV446">
        <v>445</v>
      </c>
    </row>
    <row r="447" spans="1:49">
      <c r="A447" s="9">
        <v>446</v>
      </c>
      <c r="B447" s="9"/>
      <c r="C447" s="10"/>
      <c r="D447" s="9"/>
      <c r="E447" s="9">
        <f>COUNTIF($C$1:C447,C447)</f>
        <v>0</v>
      </c>
      <c r="F447" s="9" t="str">
        <f t="shared" si="74"/>
        <v>0</v>
      </c>
      <c r="G447" s="9">
        <f t="shared" si="76"/>
        <v>0</v>
      </c>
      <c r="H447" s="9">
        <f t="shared" si="75"/>
        <v>0</v>
      </c>
      <c r="I447"/>
      <c r="AV447">
        <v>446</v>
      </c>
    </row>
    <row r="448" spans="1:49">
      <c r="A448" s="9">
        <v>447</v>
      </c>
      <c r="B448" s="9"/>
      <c r="C448" s="10"/>
      <c r="D448" s="9"/>
      <c r="E448" s="9">
        <f>COUNTIF($C$1:C448,C448)</f>
        <v>0</v>
      </c>
      <c r="F448" s="9" t="str">
        <f t="shared" si="74"/>
        <v>0</v>
      </c>
      <c r="G448" s="9">
        <f t="shared" si="76"/>
        <v>0</v>
      </c>
      <c r="H448" s="9">
        <f t="shared" si="75"/>
        <v>0</v>
      </c>
      <c r="I448"/>
      <c r="AV448">
        <v>447</v>
      </c>
    </row>
    <row r="449" spans="1:49">
      <c r="A449" s="9">
        <v>448</v>
      </c>
      <c r="B449" s="9" t="s">
        <v>263</v>
      </c>
      <c r="C449" s="10">
        <v>2036908251</v>
      </c>
      <c r="D449" s="9" t="s">
        <v>280</v>
      </c>
      <c r="E449" s="9">
        <f>COUNTIF($C$1:C449,C449)</f>
        <v>4</v>
      </c>
      <c r="F449" s="9" t="str">
        <f t="shared" si="74"/>
        <v>20369082514</v>
      </c>
      <c r="G449" s="9">
        <f t="shared" si="76"/>
        <v>0</v>
      </c>
      <c r="H449" s="9">
        <f t="shared" si="75"/>
        <v>0</v>
      </c>
      <c r="I449"/>
      <c r="AV449">
        <v>448</v>
      </c>
      <c r="AW449" t="s">
        <v>263</v>
      </c>
    </row>
    <row r="450" spans="1:49">
      <c r="A450" s="9">
        <v>449</v>
      </c>
      <c r="B450" s="9"/>
      <c r="C450" s="10"/>
      <c r="D450" s="9"/>
      <c r="E450" s="9">
        <f>COUNTIF($C$1:C450,C450)</f>
        <v>0</v>
      </c>
      <c r="F450" s="9" t="str">
        <f t="shared" si="74"/>
        <v>0</v>
      </c>
      <c r="G450" s="9">
        <f t="shared" si="76"/>
        <v>0</v>
      </c>
      <c r="H450" s="9">
        <f t="shared" si="75"/>
        <v>0</v>
      </c>
      <c r="I450"/>
      <c r="AV450">
        <v>449</v>
      </c>
    </row>
    <row r="451" spans="1:49">
      <c r="A451" s="9">
        <v>450</v>
      </c>
      <c r="B451" s="9" t="s">
        <v>264</v>
      </c>
      <c r="C451" s="10">
        <v>2036105893</v>
      </c>
      <c r="D451" s="9" t="s">
        <v>280</v>
      </c>
      <c r="E451" s="9">
        <f>COUNTIF($C$1:C451,C451)</f>
        <v>3</v>
      </c>
      <c r="F451" s="9" t="str">
        <f t="shared" ref="F451:F501" si="77">C451&amp;E451</f>
        <v>20361058933</v>
      </c>
      <c r="G451" s="9">
        <f t="shared" si="76"/>
        <v>0</v>
      </c>
      <c r="H451" s="9">
        <f t="shared" ref="H451:H501" si="78">IF(IFERROR(FIND("free",LOWER(B451)),0)=0,0,1)</f>
        <v>0</v>
      </c>
      <c r="I451"/>
      <c r="AV451">
        <v>450</v>
      </c>
      <c r="AW451" t="s">
        <v>264</v>
      </c>
    </row>
    <row r="452" spans="1:49">
      <c r="A452" s="9">
        <v>451</v>
      </c>
      <c r="B452" s="9"/>
      <c r="C452" s="10"/>
      <c r="D452" s="9"/>
      <c r="E452" s="9">
        <f>COUNTIF($C$1:C452,C452)</f>
        <v>0</v>
      </c>
      <c r="F452" s="9" t="str">
        <f t="shared" si="77"/>
        <v>0</v>
      </c>
      <c r="G452" s="9">
        <f t="shared" ref="G452:G501" si="79">IF(IFERROR(FIND("pg",LOWER(B452)),0)=0,0,1)</f>
        <v>0</v>
      </c>
      <c r="H452" s="9">
        <f t="shared" si="78"/>
        <v>0</v>
      </c>
      <c r="I452"/>
      <c r="AV452">
        <v>451</v>
      </c>
    </row>
    <row r="453" spans="1:49">
      <c r="A453" s="9">
        <v>452</v>
      </c>
      <c r="B453" s="9"/>
      <c r="C453" s="10"/>
      <c r="D453" s="9"/>
      <c r="E453" s="9">
        <f>COUNTIF($C$1:C453,C453)</f>
        <v>0</v>
      </c>
      <c r="F453" s="9" t="str">
        <f t="shared" si="77"/>
        <v>0</v>
      </c>
      <c r="G453" s="9">
        <f t="shared" si="79"/>
        <v>0</v>
      </c>
      <c r="H453" s="9">
        <f t="shared" si="78"/>
        <v>0</v>
      </c>
      <c r="I453"/>
      <c r="AV453">
        <v>452</v>
      </c>
    </row>
    <row r="454" spans="1:49">
      <c r="A454" s="9">
        <v>453</v>
      </c>
      <c r="B454" s="9"/>
      <c r="C454" s="10"/>
      <c r="D454" s="9"/>
      <c r="E454" s="9">
        <f>COUNTIF($C$1:C454,C454)</f>
        <v>0</v>
      </c>
      <c r="F454" s="9" t="str">
        <f t="shared" si="77"/>
        <v>0</v>
      </c>
      <c r="G454" s="9">
        <f t="shared" si="79"/>
        <v>0</v>
      </c>
      <c r="H454" s="9">
        <f t="shared" si="78"/>
        <v>0</v>
      </c>
      <c r="I454"/>
      <c r="AV454">
        <v>453</v>
      </c>
    </row>
    <row r="455" spans="1:49">
      <c r="A455" s="9">
        <v>454</v>
      </c>
      <c r="B455" s="9"/>
      <c r="C455" s="10"/>
      <c r="D455" s="9"/>
      <c r="E455" s="9">
        <f>COUNTIF($C$1:C455,C455)</f>
        <v>0</v>
      </c>
      <c r="F455" s="9" t="str">
        <f t="shared" si="77"/>
        <v>0</v>
      </c>
      <c r="G455" s="9">
        <f t="shared" si="79"/>
        <v>0</v>
      </c>
      <c r="H455" s="9">
        <f t="shared" si="78"/>
        <v>0</v>
      </c>
      <c r="I455"/>
      <c r="AV455">
        <v>454</v>
      </c>
    </row>
    <row r="456" spans="1:49">
      <c r="A456" s="9">
        <v>455</v>
      </c>
      <c r="B456" s="9"/>
      <c r="C456" s="10"/>
      <c r="D456" s="9"/>
      <c r="E456" s="9">
        <f>COUNTIF($C$1:C456,C456)</f>
        <v>0</v>
      </c>
      <c r="F456" s="9" t="str">
        <f t="shared" si="77"/>
        <v>0</v>
      </c>
      <c r="G456" s="9">
        <f t="shared" si="79"/>
        <v>0</v>
      </c>
      <c r="H456" s="9">
        <f t="shared" si="78"/>
        <v>0</v>
      </c>
      <c r="I456"/>
      <c r="AV456">
        <v>455</v>
      </c>
    </row>
    <row r="457" spans="1:49">
      <c r="A457" s="9">
        <v>456</v>
      </c>
      <c r="B457" s="9" t="s">
        <v>319</v>
      </c>
      <c r="C457" s="10">
        <v>9148799779</v>
      </c>
      <c r="D457" s="9" t="s">
        <v>280</v>
      </c>
      <c r="E457" s="9">
        <f>COUNTIF($C$1:C457,C457)</f>
        <v>3</v>
      </c>
      <c r="F457" s="9" t="str">
        <f t="shared" si="77"/>
        <v>91487997793</v>
      </c>
      <c r="G457" s="9">
        <f t="shared" si="79"/>
        <v>1</v>
      </c>
      <c r="H457" s="9">
        <f t="shared" si="78"/>
        <v>0</v>
      </c>
      <c r="I457"/>
      <c r="AV457">
        <v>456</v>
      </c>
      <c r="AW457" t="s">
        <v>265</v>
      </c>
    </row>
    <row r="458" spans="1:49">
      <c r="A458" s="9">
        <v>457</v>
      </c>
      <c r="B458" s="9" t="s">
        <v>266</v>
      </c>
      <c r="C458" s="10">
        <v>5511961917900</v>
      </c>
      <c r="D458" s="9" t="s">
        <v>280</v>
      </c>
      <c r="E458" s="9">
        <f>COUNTIF($C$1:C458,C458)</f>
        <v>6</v>
      </c>
      <c r="F458" s="9" t="str">
        <f t="shared" si="77"/>
        <v>55119619179006</v>
      </c>
      <c r="G458" s="9">
        <f t="shared" si="79"/>
        <v>0</v>
      </c>
      <c r="H458" s="9">
        <f t="shared" si="78"/>
        <v>0</v>
      </c>
      <c r="I458"/>
      <c r="AV458">
        <v>457</v>
      </c>
      <c r="AW458" t="s">
        <v>266</v>
      </c>
    </row>
    <row r="459" spans="1:49">
      <c r="A459" s="9">
        <v>458</v>
      </c>
      <c r="B459" s="9"/>
      <c r="C459" s="10"/>
      <c r="D459" s="9"/>
      <c r="E459" s="9">
        <f>COUNTIF($C$1:C459,C459)</f>
        <v>0</v>
      </c>
      <c r="F459" s="9" t="str">
        <f t="shared" si="77"/>
        <v>0</v>
      </c>
      <c r="G459" s="9">
        <f t="shared" si="79"/>
        <v>0</v>
      </c>
      <c r="H459" s="9">
        <f t="shared" si="78"/>
        <v>0</v>
      </c>
      <c r="I459"/>
      <c r="AV459">
        <v>458</v>
      </c>
    </row>
    <row r="460" spans="1:49">
      <c r="A460" s="9">
        <v>459</v>
      </c>
      <c r="B460" s="9" t="s">
        <v>267</v>
      </c>
      <c r="C460" s="10">
        <v>9148446172</v>
      </c>
      <c r="D460" s="9" t="s">
        <v>280</v>
      </c>
      <c r="E460" s="9">
        <f>COUNTIF($C$1:C460,C460)</f>
        <v>3</v>
      </c>
      <c r="F460" s="9" t="str">
        <f t="shared" si="77"/>
        <v>91484461723</v>
      </c>
      <c r="G460" s="9">
        <f t="shared" si="79"/>
        <v>0</v>
      </c>
      <c r="H460" s="9">
        <f t="shared" si="78"/>
        <v>0</v>
      </c>
      <c r="I460"/>
      <c r="AV460">
        <v>459</v>
      </c>
      <c r="AW460" t="s">
        <v>267</v>
      </c>
    </row>
    <row r="461" spans="1:49">
      <c r="A461" s="9">
        <v>460</v>
      </c>
      <c r="B461" s="9"/>
      <c r="C461" s="10"/>
      <c r="D461" s="9"/>
      <c r="E461" s="9">
        <f>COUNTIF($C$1:C461,C461)</f>
        <v>0</v>
      </c>
      <c r="F461" s="9" t="str">
        <f t="shared" si="77"/>
        <v>0</v>
      </c>
      <c r="G461" s="9">
        <f t="shared" si="79"/>
        <v>0</v>
      </c>
      <c r="H461" s="9">
        <f t="shared" si="78"/>
        <v>0</v>
      </c>
      <c r="I461"/>
      <c r="AV461">
        <v>460</v>
      </c>
    </row>
    <row r="462" spans="1:49">
      <c r="A462" s="9">
        <v>461</v>
      </c>
      <c r="B462" s="9" t="s">
        <v>268</v>
      </c>
      <c r="C462" s="10">
        <v>2035360916</v>
      </c>
      <c r="D462" s="9" t="s">
        <v>280</v>
      </c>
      <c r="E462" s="9">
        <f>COUNTIF($C$1:C462,C462)</f>
        <v>3</v>
      </c>
      <c r="F462" s="9" t="str">
        <f t="shared" si="77"/>
        <v>20353609163</v>
      </c>
      <c r="G462" s="9">
        <f t="shared" si="79"/>
        <v>0</v>
      </c>
      <c r="H462" s="9">
        <f t="shared" si="78"/>
        <v>1</v>
      </c>
      <c r="I462"/>
      <c r="AV462">
        <v>461</v>
      </c>
      <c r="AW462" t="s">
        <v>268</v>
      </c>
    </row>
    <row r="463" spans="1:49">
      <c r="A463" s="9">
        <v>462</v>
      </c>
      <c r="B463" s="9" t="s">
        <v>269</v>
      </c>
      <c r="C463" s="10">
        <v>9143190338</v>
      </c>
      <c r="D463" s="9" t="s">
        <v>280</v>
      </c>
      <c r="E463" s="9">
        <f>COUNTIF($C$1:C463,C463)</f>
        <v>4</v>
      </c>
      <c r="F463" s="9" t="str">
        <f t="shared" si="77"/>
        <v>91431903384</v>
      </c>
      <c r="G463" s="9">
        <f t="shared" si="79"/>
        <v>0</v>
      </c>
      <c r="H463" s="9">
        <f t="shared" si="78"/>
        <v>1</v>
      </c>
      <c r="I463"/>
      <c r="AV463">
        <v>462</v>
      </c>
      <c r="AW463" t="s">
        <v>269</v>
      </c>
    </row>
    <row r="464" spans="1:49">
      <c r="A464" s="9">
        <v>463</v>
      </c>
      <c r="B464" s="9"/>
      <c r="C464" s="10"/>
      <c r="D464" s="9"/>
      <c r="E464" s="9">
        <f>COUNTIF($C$1:C464,C464)</f>
        <v>0</v>
      </c>
      <c r="F464" s="9" t="str">
        <f t="shared" si="77"/>
        <v>0</v>
      </c>
      <c r="G464" s="9">
        <f t="shared" si="79"/>
        <v>0</v>
      </c>
      <c r="H464" s="9">
        <f t="shared" si="78"/>
        <v>0</v>
      </c>
      <c r="I464"/>
      <c r="AV464">
        <v>463</v>
      </c>
    </row>
    <row r="465" spans="1:49">
      <c r="A465" s="9">
        <v>464</v>
      </c>
      <c r="B465" s="9"/>
      <c r="C465" s="10"/>
      <c r="D465" s="9"/>
      <c r="E465" s="9">
        <f>COUNTIF($C$1:C465,C465)</f>
        <v>0</v>
      </c>
      <c r="F465" s="9" t="str">
        <f t="shared" si="77"/>
        <v>0</v>
      </c>
      <c r="G465" s="9">
        <f t="shared" si="79"/>
        <v>0</v>
      </c>
      <c r="H465" s="9">
        <f t="shared" si="78"/>
        <v>0</v>
      </c>
      <c r="I465"/>
      <c r="AV465">
        <v>464</v>
      </c>
    </row>
    <row r="466" spans="1:49">
      <c r="A466" s="9">
        <v>465</v>
      </c>
      <c r="B466" s="9"/>
      <c r="C466" s="10"/>
      <c r="D466" s="9"/>
      <c r="E466" s="9">
        <f>COUNTIF($C$1:C466,C466)</f>
        <v>0</v>
      </c>
      <c r="F466" s="9" t="str">
        <f t="shared" si="77"/>
        <v>0</v>
      </c>
      <c r="G466" s="9">
        <f t="shared" si="79"/>
        <v>0</v>
      </c>
      <c r="H466" s="9">
        <f t="shared" si="78"/>
        <v>0</v>
      </c>
      <c r="I466"/>
      <c r="AV466">
        <v>465</v>
      </c>
    </row>
    <row r="467" spans="1:49">
      <c r="A467" s="9">
        <v>466</v>
      </c>
      <c r="B467" s="9" t="s">
        <v>270</v>
      </c>
      <c r="C467" s="10">
        <v>2032401199</v>
      </c>
      <c r="D467" s="9" t="s">
        <v>280</v>
      </c>
      <c r="E467" s="9">
        <f>COUNTIF($C$1:C467,C467)</f>
        <v>4</v>
      </c>
      <c r="F467" s="9" t="str">
        <f t="shared" si="77"/>
        <v>20324011994</v>
      </c>
      <c r="G467" s="9">
        <f t="shared" si="79"/>
        <v>1</v>
      </c>
      <c r="H467" s="9">
        <f t="shared" si="78"/>
        <v>0</v>
      </c>
      <c r="I467"/>
      <c r="AV467">
        <v>466</v>
      </c>
      <c r="AW467" t="s">
        <v>270</v>
      </c>
    </row>
    <row r="468" spans="1:49">
      <c r="A468" s="9">
        <v>467</v>
      </c>
      <c r="B468" s="9" t="s">
        <v>326</v>
      </c>
      <c r="C468" s="10">
        <v>9147740936</v>
      </c>
      <c r="D468" s="9" t="s">
        <v>280</v>
      </c>
      <c r="E468" s="9">
        <f>COUNTIF($C$1:C468,C468)</f>
        <v>3</v>
      </c>
      <c r="F468" s="9" t="str">
        <f t="shared" si="77"/>
        <v>91477409363</v>
      </c>
      <c r="G468" s="9">
        <f t="shared" si="79"/>
        <v>0</v>
      </c>
      <c r="H468" s="9">
        <f t="shared" si="78"/>
        <v>1</v>
      </c>
      <c r="I468"/>
      <c r="AV468">
        <v>467</v>
      </c>
      <c r="AW468" t="s">
        <v>271</v>
      </c>
    </row>
    <row r="469" spans="1:49">
      <c r="A469" s="9">
        <v>468</v>
      </c>
      <c r="B469" s="9"/>
      <c r="C469" s="10"/>
      <c r="D469" s="9"/>
      <c r="E469" s="9">
        <f>COUNTIF($C$1:C469,C469)</f>
        <v>0</v>
      </c>
      <c r="F469" s="9" t="str">
        <f t="shared" si="77"/>
        <v>0</v>
      </c>
      <c r="G469" s="9">
        <f t="shared" si="79"/>
        <v>0</v>
      </c>
      <c r="H469" s="9">
        <f t="shared" si="78"/>
        <v>0</v>
      </c>
      <c r="I469"/>
      <c r="AV469">
        <v>468</v>
      </c>
    </row>
    <row r="470" spans="1:49">
      <c r="A470" s="9">
        <v>469</v>
      </c>
      <c r="B470" s="9"/>
      <c r="C470" s="10"/>
      <c r="D470" s="9"/>
      <c r="E470" s="9">
        <f>COUNTIF($C$1:C470,C470)</f>
        <v>0</v>
      </c>
      <c r="F470" s="9" t="str">
        <f t="shared" si="77"/>
        <v>0</v>
      </c>
      <c r="G470" s="9">
        <f t="shared" si="79"/>
        <v>0</v>
      </c>
      <c r="H470" s="9">
        <f t="shared" si="78"/>
        <v>0</v>
      </c>
      <c r="I470"/>
      <c r="AV470">
        <v>469</v>
      </c>
    </row>
    <row r="471" spans="1:49">
      <c r="A471" s="9">
        <v>470</v>
      </c>
      <c r="B471" s="9" t="s">
        <v>40</v>
      </c>
      <c r="C471" s="10">
        <v>2032122279</v>
      </c>
      <c r="D471" s="9" t="s">
        <v>280</v>
      </c>
      <c r="E471" s="9">
        <f>COUNTIF($C$1:C471,C471)</f>
        <v>2</v>
      </c>
      <c r="F471" s="9" t="str">
        <f t="shared" si="77"/>
        <v>20321222792</v>
      </c>
      <c r="G471" s="9">
        <f t="shared" si="79"/>
        <v>0</v>
      </c>
      <c r="H471" s="9">
        <f t="shared" si="78"/>
        <v>0</v>
      </c>
      <c r="I471"/>
      <c r="AV471">
        <v>470</v>
      </c>
      <c r="AW471" t="s">
        <v>40</v>
      </c>
    </row>
    <row r="472" spans="1:49">
      <c r="A472" s="9">
        <v>471</v>
      </c>
      <c r="B472" s="9"/>
      <c r="C472" s="10"/>
      <c r="D472" s="9"/>
      <c r="E472" s="9">
        <f>COUNTIF($C$1:C472,C472)</f>
        <v>0</v>
      </c>
      <c r="F472" s="9" t="str">
        <f t="shared" si="77"/>
        <v>0</v>
      </c>
      <c r="G472" s="9">
        <f t="shared" si="79"/>
        <v>0</v>
      </c>
      <c r="H472" s="9">
        <f t="shared" si="78"/>
        <v>0</v>
      </c>
      <c r="I472"/>
      <c r="AV472">
        <v>471</v>
      </c>
    </row>
    <row r="473" spans="1:49">
      <c r="A473" s="9">
        <v>472</v>
      </c>
      <c r="B473" s="9"/>
      <c r="C473" s="10"/>
      <c r="D473" s="9"/>
      <c r="E473" s="9">
        <f>COUNTIF($C$1:C473,C473)</f>
        <v>0</v>
      </c>
      <c r="F473" s="9" t="str">
        <f t="shared" si="77"/>
        <v>0</v>
      </c>
      <c r="G473" s="9">
        <f t="shared" si="79"/>
        <v>0</v>
      </c>
      <c r="H473" s="9">
        <f t="shared" si="78"/>
        <v>0</v>
      </c>
      <c r="I473"/>
      <c r="AV473">
        <v>472</v>
      </c>
    </row>
    <row r="474" spans="1:49">
      <c r="A474" s="9">
        <v>473</v>
      </c>
      <c r="B474" s="9"/>
      <c r="C474" s="10"/>
      <c r="D474" s="9"/>
      <c r="E474" s="9">
        <f>COUNTIF($C$1:C474,C474)</f>
        <v>0</v>
      </c>
      <c r="F474" s="9" t="str">
        <f t="shared" si="77"/>
        <v>0</v>
      </c>
      <c r="G474" s="9">
        <f t="shared" si="79"/>
        <v>0</v>
      </c>
      <c r="H474" s="9">
        <f t="shared" si="78"/>
        <v>0</v>
      </c>
      <c r="I474"/>
      <c r="AV474">
        <v>473</v>
      </c>
    </row>
    <row r="475" spans="1:49">
      <c r="A475" s="9">
        <v>474</v>
      </c>
      <c r="B475" s="9"/>
      <c r="C475" s="10"/>
      <c r="D475" s="9"/>
      <c r="E475" s="9">
        <f>COUNTIF($C$1:C475,C475)</f>
        <v>0</v>
      </c>
      <c r="F475" s="9" t="str">
        <f t="shared" si="77"/>
        <v>0</v>
      </c>
      <c r="G475" s="9">
        <f t="shared" si="79"/>
        <v>0</v>
      </c>
      <c r="H475" s="9">
        <f t="shared" si="78"/>
        <v>0</v>
      </c>
      <c r="I475"/>
      <c r="AV475">
        <v>474</v>
      </c>
    </row>
    <row r="476" spans="1:49">
      <c r="A476" s="9">
        <v>475</v>
      </c>
      <c r="B476" s="9" t="s">
        <v>272</v>
      </c>
      <c r="C476" s="10">
        <v>2032283876</v>
      </c>
      <c r="D476" s="9" t="s">
        <v>280</v>
      </c>
      <c r="E476" s="9">
        <f>COUNTIF($C$1:C476,C476)</f>
        <v>1</v>
      </c>
      <c r="F476" s="9" t="str">
        <f t="shared" si="77"/>
        <v>20322838761</v>
      </c>
      <c r="G476" s="9">
        <f t="shared" si="79"/>
        <v>1</v>
      </c>
      <c r="H476" s="9">
        <f t="shared" si="78"/>
        <v>0</v>
      </c>
      <c r="I476"/>
      <c r="AV476">
        <v>475</v>
      </c>
      <c r="AW476" t="s">
        <v>272</v>
      </c>
    </row>
    <row r="477" spans="1:49">
      <c r="A477" s="9">
        <v>476</v>
      </c>
      <c r="B477" s="9"/>
      <c r="C477" s="10"/>
      <c r="D477" s="9"/>
      <c r="E477" s="9">
        <f>COUNTIF($C$1:C477,C477)</f>
        <v>0</v>
      </c>
      <c r="F477" s="9" t="str">
        <f t="shared" si="77"/>
        <v>0</v>
      </c>
      <c r="G477" s="9">
        <f t="shared" si="79"/>
        <v>0</v>
      </c>
      <c r="H477" s="9">
        <f t="shared" si="78"/>
        <v>0</v>
      </c>
      <c r="I477"/>
      <c r="AV477">
        <v>476</v>
      </c>
    </row>
    <row r="478" spans="1:49">
      <c r="A478" s="9">
        <v>477</v>
      </c>
      <c r="B478" s="9" t="s">
        <v>214</v>
      </c>
      <c r="C478" s="10">
        <v>2035450805</v>
      </c>
      <c r="D478" s="9" t="s">
        <v>280</v>
      </c>
      <c r="E478" s="9">
        <f>COUNTIF($C$1:C478,C478)</f>
        <v>2</v>
      </c>
      <c r="F478" s="9" t="str">
        <f t="shared" si="77"/>
        <v>20354508052</v>
      </c>
      <c r="G478" s="9">
        <f t="shared" si="79"/>
        <v>0</v>
      </c>
      <c r="H478" s="9">
        <f t="shared" si="78"/>
        <v>0</v>
      </c>
      <c r="I478"/>
      <c r="AV478">
        <v>477</v>
      </c>
      <c r="AW478" t="s">
        <v>214</v>
      </c>
    </row>
    <row r="479" spans="1:49">
      <c r="A479" s="9">
        <v>478</v>
      </c>
      <c r="B479" s="9" t="s">
        <v>40</v>
      </c>
      <c r="C479" s="10">
        <v>2032122279</v>
      </c>
      <c r="D479" s="9" t="s">
        <v>280</v>
      </c>
      <c r="E479" s="9">
        <f>COUNTIF($C$1:C479,C479)</f>
        <v>3</v>
      </c>
      <c r="F479" s="9" t="str">
        <f t="shared" si="77"/>
        <v>20321222793</v>
      </c>
      <c r="G479" s="9">
        <f t="shared" si="79"/>
        <v>0</v>
      </c>
      <c r="H479" s="9">
        <f t="shared" si="78"/>
        <v>0</v>
      </c>
      <c r="I479"/>
      <c r="AV479">
        <v>478</v>
      </c>
      <c r="AW479" t="s">
        <v>40</v>
      </c>
    </row>
    <row r="480" spans="1:49">
      <c r="A480" s="9">
        <v>479</v>
      </c>
      <c r="B480" s="9"/>
      <c r="C480" s="10"/>
      <c r="D480" s="9"/>
      <c r="E480" s="9">
        <f>COUNTIF($C$1:C480,C480)</f>
        <v>0</v>
      </c>
      <c r="F480" s="9" t="str">
        <f t="shared" si="77"/>
        <v>0</v>
      </c>
      <c r="G480" s="9">
        <f t="shared" si="79"/>
        <v>0</v>
      </c>
      <c r="H480" s="9">
        <f t="shared" si="78"/>
        <v>0</v>
      </c>
      <c r="I480"/>
      <c r="AV480">
        <v>479</v>
      </c>
    </row>
    <row r="481" spans="1:49">
      <c r="A481" s="9">
        <v>480</v>
      </c>
      <c r="B481" s="9" t="s">
        <v>232</v>
      </c>
      <c r="C481" s="10">
        <v>9148043987</v>
      </c>
      <c r="D481" s="9" t="s">
        <v>280</v>
      </c>
      <c r="E481" s="9">
        <f>COUNTIF($C$1:C481,C481)</f>
        <v>2</v>
      </c>
      <c r="F481" s="9" t="str">
        <f t="shared" si="77"/>
        <v>91480439872</v>
      </c>
      <c r="G481" s="9">
        <f t="shared" si="79"/>
        <v>0</v>
      </c>
      <c r="H481" s="9">
        <f t="shared" si="78"/>
        <v>0</v>
      </c>
      <c r="I481"/>
      <c r="AV481">
        <v>480</v>
      </c>
      <c r="AW481" t="s">
        <v>232</v>
      </c>
    </row>
    <row r="482" spans="1:49">
      <c r="A482" s="9">
        <v>481</v>
      </c>
      <c r="B482" s="9"/>
      <c r="C482" s="10"/>
      <c r="D482" s="9"/>
      <c r="E482" s="9">
        <f>COUNTIF($C$1:C482,C482)</f>
        <v>0</v>
      </c>
      <c r="F482" s="9" t="str">
        <f t="shared" si="77"/>
        <v>0</v>
      </c>
      <c r="G482" s="9">
        <f t="shared" si="79"/>
        <v>0</v>
      </c>
      <c r="H482" s="9">
        <f t="shared" si="78"/>
        <v>0</v>
      </c>
      <c r="I482"/>
      <c r="AV482">
        <v>481</v>
      </c>
    </row>
    <row r="483" spans="1:49">
      <c r="A483" s="9">
        <v>482</v>
      </c>
      <c r="B483" s="9"/>
      <c r="C483" s="10"/>
      <c r="D483" s="9"/>
      <c r="E483" s="9">
        <f>COUNTIF($C$1:C483,C483)</f>
        <v>0</v>
      </c>
      <c r="F483" s="9" t="str">
        <f t="shared" si="77"/>
        <v>0</v>
      </c>
      <c r="G483" s="9">
        <f t="shared" si="79"/>
        <v>0</v>
      </c>
      <c r="H483" s="9">
        <f t="shared" si="78"/>
        <v>0</v>
      </c>
      <c r="I483"/>
      <c r="AV483">
        <v>482</v>
      </c>
    </row>
    <row r="484" spans="1:49">
      <c r="A484" s="9">
        <v>483</v>
      </c>
      <c r="B484" s="9" t="s">
        <v>273</v>
      </c>
      <c r="C484" s="10">
        <v>2033216644</v>
      </c>
      <c r="D484" s="9" t="s">
        <v>280</v>
      </c>
      <c r="E484" s="9">
        <f>COUNTIF($C$1:C484,C484)</f>
        <v>1</v>
      </c>
      <c r="F484" s="9" t="str">
        <f t="shared" si="77"/>
        <v>20332166441</v>
      </c>
      <c r="G484" s="9">
        <f t="shared" si="79"/>
        <v>0</v>
      </c>
      <c r="H484" s="9">
        <f t="shared" si="78"/>
        <v>0</v>
      </c>
      <c r="I484"/>
      <c r="AV484">
        <v>483</v>
      </c>
      <c r="AW484" t="s">
        <v>273</v>
      </c>
    </row>
    <row r="485" spans="1:49">
      <c r="A485" s="9">
        <v>484</v>
      </c>
      <c r="B485" s="9"/>
      <c r="C485" s="10"/>
      <c r="D485" s="9"/>
      <c r="E485" s="9">
        <f>COUNTIF($C$1:C485,C485)</f>
        <v>0</v>
      </c>
      <c r="F485" s="9" t="str">
        <f t="shared" si="77"/>
        <v>0</v>
      </c>
      <c r="G485" s="9">
        <f t="shared" si="79"/>
        <v>0</v>
      </c>
      <c r="H485" s="9">
        <f t="shared" si="78"/>
        <v>0</v>
      </c>
      <c r="I485"/>
      <c r="AV485">
        <v>484</v>
      </c>
    </row>
    <row r="486" spans="1:49">
      <c r="A486" s="9">
        <v>485</v>
      </c>
      <c r="B486" s="9" t="s">
        <v>274</v>
      </c>
      <c r="C486" s="10">
        <v>2035221446</v>
      </c>
      <c r="D486" s="9" t="s">
        <v>280</v>
      </c>
      <c r="E486" s="9">
        <f>COUNTIF($C$1:C486,C486)</f>
        <v>2</v>
      </c>
      <c r="F486" s="9" t="str">
        <f t="shared" si="77"/>
        <v>20352214462</v>
      </c>
      <c r="G486" s="9">
        <f t="shared" si="79"/>
        <v>0</v>
      </c>
      <c r="H486" s="9">
        <f t="shared" si="78"/>
        <v>0</v>
      </c>
      <c r="I486"/>
      <c r="AV486">
        <v>485</v>
      </c>
      <c r="AW486" t="s">
        <v>274</v>
      </c>
    </row>
    <row r="487" spans="1:49">
      <c r="A487" s="9">
        <v>486</v>
      </c>
      <c r="B487" s="9" t="s">
        <v>275</v>
      </c>
      <c r="C487" s="10">
        <v>9148043987</v>
      </c>
      <c r="D487" s="9" t="s">
        <v>280</v>
      </c>
      <c r="E487" s="9">
        <f>COUNTIF($C$1:C487,C487)</f>
        <v>3</v>
      </c>
      <c r="F487" s="9" t="str">
        <f t="shared" si="77"/>
        <v>91480439873</v>
      </c>
      <c r="G487" s="9">
        <f t="shared" si="79"/>
        <v>0</v>
      </c>
      <c r="H487" s="9">
        <f t="shared" si="78"/>
        <v>0</v>
      </c>
      <c r="I487"/>
      <c r="AV487">
        <v>486</v>
      </c>
      <c r="AW487" t="s">
        <v>275</v>
      </c>
    </row>
    <row r="488" spans="1:49">
      <c r="A488" s="9">
        <v>487</v>
      </c>
      <c r="B488" s="9" t="s">
        <v>276</v>
      </c>
      <c r="C488" s="10">
        <v>9148302799</v>
      </c>
      <c r="D488" s="9" t="s">
        <v>280</v>
      </c>
      <c r="E488" s="9">
        <f>COUNTIF($C$1:C488,C488)</f>
        <v>4</v>
      </c>
      <c r="F488" s="9" t="str">
        <f t="shared" si="77"/>
        <v>91483027994</v>
      </c>
      <c r="G488" s="9">
        <f t="shared" si="79"/>
        <v>0</v>
      </c>
      <c r="H488" s="9">
        <f t="shared" si="78"/>
        <v>1</v>
      </c>
      <c r="I488"/>
      <c r="AV488">
        <v>487</v>
      </c>
      <c r="AW488" t="s">
        <v>276</v>
      </c>
    </row>
    <row r="489" spans="1:49">
      <c r="A489" s="9">
        <v>488</v>
      </c>
      <c r="B489" s="9" t="s">
        <v>277</v>
      </c>
      <c r="C489" s="10">
        <v>9146095697</v>
      </c>
      <c r="D489" s="9" t="s">
        <v>280</v>
      </c>
      <c r="E489" s="9">
        <f>COUNTIF($C$1:C489,C489)</f>
        <v>7</v>
      </c>
      <c r="F489" s="9" t="str">
        <f t="shared" si="77"/>
        <v>91460956977</v>
      </c>
      <c r="G489" s="9">
        <f t="shared" si="79"/>
        <v>0</v>
      </c>
      <c r="H489" s="9">
        <f t="shared" si="78"/>
        <v>1</v>
      </c>
      <c r="I489"/>
      <c r="AV489">
        <v>488</v>
      </c>
      <c r="AW489" t="s">
        <v>277</v>
      </c>
    </row>
    <row r="490" spans="1:49">
      <c r="A490" s="9">
        <v>489</v>
      </c>
      <c r="B490" s="9"/>
      <c r="C490" s="10"/>
      <c r="D490" s="9"/>
      <c r="E490" s="9">
        <f>COUNTIF($C$1:C490,C490)</f>
        <v>0</v>
      </c>
      <c r="F490" s="9" t="str">
        <f t="shared" si="77"/>
        <v>0</v>
      </c>
      <c r="G490" s="9">
        <f t="shared" si="79"/>
        <v>0</v>
      </c>
      <c r="H490" s="9">
        <f t="shared" si="78"/>
        <v>0</v>
      </c>
      <c r="I490"/>
      <c r="AV490">
        <v>489</v>
      </c>
    </row>
    <row r="491" spans="1:49">
      <c r="A491" s="9">
        <v>490</v>
      </c>
      <c r="B491" s="9" t="s">
        <v>118</v>
      </c>
      <c r="C491" s="10">
        <v>9143569767</v>
      </c>
      <c r="D491" s="9" t="s">
        <v>280</v>
      </c>
      <c r="E491" s="9">
        <f>COUNTIF($C$1:C491,C491)</f>
        <v>3</v>
      </c>
      <c r="F491" s="9" t="str">
        <f t="shared" si="77"/>
        <v>91435697673</v>
      </c>
      <c r="G491" s="9">
        <f t="shared" si="79"/>
        <v>0</v>
      </c>
      <c r="H491" s="9">
        <f t="shared" si="78"/>
        <v>0</v>
      </c>
      <c r="I491"/>
      <c r="AV491">
        <v>490</v>
      </c>
      <c r="AW491" t="s">
        <v>118</v>
      </c>
    </row>
    <row r="492" spans="1:49">
      <c r="A492" s="9">
        <v>491</v>
      </c>
      <c r="B492" s="9" t="s">
        <v>124</v>
      </c>
      <c r="C492" s="10">
        <v>9144269391</v>
      </c>
      <c r="D492" s="9" t="s">
        <v>280</v>
      </c>
      <c r="E492" s="9">
        <f>COUNTIF($C$1:C492,C492)</f>
        <v>4</v>
      </c>
      <c r="F492" s="9" t="str">
        <f t="shared" si="77"/>
        <v>91442693914</v>
      </c>
      <c r="G492" s="9">
        <f t="shared" si="79"/>
        <v>0</v>
      </c>
      <c r="H492" s="9">
        <f t="shared" si="78"/>
        <v>0</v>
      </c>
      <c r="I492"/>
      <c r="AV492">
        <v>491</v>
      </c>
      <c r="AW492" t="s">
        <v>124</v>
      </c>
    </row>
    <row r="493" spans="1:49">
      <c r="A493" s="9">
        <v>492</v>
      </c>
      <c r="B493" s="9"/>
      <c r="C493" s="10"/>
      <c r="D493" s="9"/>
      <c r="E493" s="9">
        <f>COUNTIF($C$1:C493,C493)</f>
        <v>0</v>
      </c>
      <c r="F493" s="9" t="str">
        <f t="shared" si="77"/>
        <v>0</v>
      </c>
      <c r="G493" s="9">
        <f t="shared" si="79"/>
        <v>0</v>
      </c>
      <c r="H493" s="9">
        <f t="shared" si="78"/>
        <v>0</v>
      </c>
      <c r="I493"/>
      <c r="AV493">
        <v>492</v>
      </c>
    </row>
    <row r="494" spans="1:49">
      <c r="A494" s="9">
        <v>493</v>
      </c>
      <c r="B494" s="9" t="s">
        <v>278</v>
      </c>
      <c r="C494" s="10"/>
      <c r="D494" s="9" t="s">
        <v>281</v>
      </c>
      <c r="E494" s="9">
        <f>COUNTIF($C$1:C494,C494)</f>
        <v>0</v>
      </c>
      <c r="F494" s="9" t="str">
        <f t="shared" si="77"/>
        <v>0</v>
      </c>
      <c r="G494" s="9">
        <f t="shared" si="79"/>
        <v>0</v>
      </c>
      <c r="H494" s="9">
        <f t="shared" si="78"/>
        <v>1</v>
      </c>
      <c r="I494"/>
      <c r="AV494">
        <v>493</v>
      </c>
      <c r="AW494" t="s">
        <v>278</v>
      </c>
    </row>
    <row r="495" spans="1:49">
      <c r="A495" s="9">
        <v>494</v>
      </c>
      <c r="B495" s="9"/>
      <c r="C495" s="10"/>
      <c r="D495" s="9"/>
      <c r="E495" s="9">
        <f>COUNTIF($C$1:C495,C495)</f>
        <v>0</v>
      </c>
      <c r="F495" s="9" t="str">
        <f t="shared" si="77"/>
        <v>0</v>
      </c>
      <c r="G495" s="9">
        <f t="shared" si="79"/>
        <v>0</v>
      </c>
      <c r="H495" s="9">
        <f t="shared" si="78"/>
        <v>0</v>
      </c>
      <c r="I495"/>
      <c r="AV495">
        <v>494</v>
      </c>
    </row>
    <row r="496" spans="1:49">
      <c r="A496" s="9">
        <v>495</v>
      </c>
      <c r="B496" s="9" t="s">
        <v>300</v>
      </c>
      <c r="C496" s="10">
        <v>2038085888</v>
      </c>
      <c r="D496" s="9" t="s">
        <v>280</v>
      </c>
      <c r="E496" s="9">
        <f>COUNTIF($C$1:C496,C496)</f>
        <v>2</v>
      </c>
      <c r="F496" s="9" t="str">
        <f t="shared" si="77"/>
        <v>20380858882</v>
      </c>
      <c r="G496" s="9">
        <f t="shared" si="79"/>
        <v>1</v>
      </c>
      <c r="H496" s="9">
        <f t="shared" si="78"/>
        <v>0</v>
      </c>
      <c r="I496"/>
      <c r="AV496">
        <v>495</v>
      </c>
      <c r="AW496" t="s">
        <v>140</v>
      </c>
    </row>
    <row r="497" spans="1:49">
      <c r="A497" s="9">
        <v>496</v>
      </c>
      <c r="B497" s="9"/>
      <c r="C497" s="10"/>
      <c r="D497" s="9"/>
      <c r="E497" s="9">
        <f>COUNTIF($C$1:C497,C497)</f>
        <v>0</v>
      </c>
      <c r="F497" s="9" t="str">
        <f t="shared" si="77"/>
        <v>0</v>
      </c>
      <c r="G497" s="9">
        <f t="shared" si="79"/>
        <v>0</v>
      </c>
      <c r="H497" s="9">
        <f t="shared" si="78"/>
        <v>0</v>
      </c>
      <c r="I497"/>
      <c r="AV497">
        <v>496</v>
      </c>
    </row>
    <row r="498" spans="1:49">
      <c r="A498" s="9">
        <v>497</v>
      </c>
      <c r="B498" s="9" t="s">
        <v>307</v>
      </c>
      <c r="C498" s="10">
        <v>4754496806</v>
      </c>
      <c r="D498" s="9" t="s">
        <v>280</v>
      </c>
      <c r="E498" s="9">
        <f>COUNTIF($C$1:C498,C498)</f>
        <v>3</v>
      </c>
      <c r="F498" s="9" t="str">
        <f t="shared" si="77"/>
        <v>47544968063</v>
      </c>
      <c r="G498" s="9">
        <f t="shared" si="79"/>
        <v>1</v>
      </c>
      <c r="H498" s="9">
        <f t="shared" si="78"/>
        <v>0</v>
      </c>
      <c r="I498"/>
      <c r="AV498">
        <v>497</v>
      </c>
      <c r="AW498" t="s">
        <v>262</v>
      </c>
    </row>
    <row r="499" spans="1:49">
      <c r="A499" s="9">
        <v>498</v>
      </c>
      <c r="B499" s="9"/>
      <c r="C499" s="10"/>
      <c r="D499" s="9"/>
      <c r="E499" s="9">
        <f>COUNTIF($C$1:C499,C499)</f>
        <v>0</v>
      </c>
      <c r="F499" s="9" t="str">
        <f t="shared" si="77"/>
        <v>0</v>
      </c>
      <c r="G499" s="9">
        <f t="shared" si="79"/>
        <v>0</v>
      </c>
      <c r="H499" s="9">
        <f t="shared" si="78"/>
        <v>0</v>
      </c>
      <c r="I499"/>
      <c r="AV499">
        <v>498</v>
      </c>
    </row>
    <row r="500" spans="1:49">
      <c r="A500" s="9">
        <v>499</v>
      </c>
      <c r="B500" s="9" t="s">
        <v>144</v>
      </c>
      <c r="C500" s="10">
        <v>9148048287</v>
      </c>
      <c r="D500" s="9" t="s">
        <v>280</v>
      </c>
      <c r="E500" s="9">
        <f>COUNTIF($C$1:C500,C500)</f>
        <v>2</v>
      </c>
      <c r="F500" s="9" t="str">
        <f t="shared" si="77"/>
        <v>91480482872</v>
      </c>
      <c r="G500" s="9">
        <f t="shared" si="79"/>
        <v>0</v>
      </c>
      <c r="H500" s="9">
        <f t="shared" si="78"/>
        <v>0</v>
      </c>
      <c r="I500"/>
      <c r="AV500">
        <v>499</v>
      </c>
      <c r="AW500" t="s">
        <v>144</v>
      </c>
    </row>
    <row r="501" spans="1:49">
      <c r="A501" s="9">
        <v>500</v>
      </c>
      <c r="B501" s="9" t="s">
        <v>20</v>
      </c>
      <c r="C501" s="10">
        <v>2033490246</v>
      </c>
      <c r="D501" s="9" t="s">
        <v>280</v>
      </c>
      <c r="E501" s="9">
        <f>COUNTIF($C$1:C501,C501)</f>
        <v>5</v>
      </c>
      <c r="F501" s="9" t="str">
        <f t="shared" si="77"/>
        <v>20334902465</v>
      </c>
      <c r="G501" s="9">
        <f t="shared" si="79"/>
        <v>1</v>
      </c>
      <c r="H501" s="9">
        <f t="shared" si="78"/>
        <v>0</v>
      </c>
      <c r="I501"/>
      <c r="AV501">
        <v>500</v>
      </c>
      <c r="AW501" t="s">
        <v>20</v>
      </c>
    </row>
    <row r="502" spans="1:49">
      <c r="B502" s="8" t="s">
        <v>322</v>
      </c>
      <c r="I502"/>
    </row>
    <row r="503" spans="1:49">
      <c r="I503"/>
    </row>
    <row r="504" spans="1:49">
      <c r="I504"/>
    </row>
    <row r="505" spans="1:49">
      <c r="I505"/>
    </row>
    <row r="506" spans="1:49">
      <c r="I506"/>
    </row>
    <row r="507" spans="1:49">
      <c r="I507"/>
    </row>
    <row r="508" spans="1:49">
      <c r="I508"/>
    </row>
    <row r="509" spans="1:49">
      <c r="I509"/>
    </row>
    <row r="510" spans="1:49">
      <c r="I510"/>
    </row>
    <row r="511" spans="1:49">
      <c r="I511"/>
    </row>
    <row r="512" spans="1:49">
      <c r="I512"/>
    </row>
    <row r="513" spans="9:9">
      <c r="I513"/>
    </row>
    <row r="514" spans="9:9">
      <c r="I514"/>
    </row>
    <row r="515" spans="9:9">
      <c r="I515"/>
    </row>
    <row r="516" spans="9:9">
      <c r="I516"/>
    </row>
    <row r="517" spans="9:9">
      <c r="I517"/>
    </row>
    <row r="518" spans="9:9">
      <c r="I518"/>
    </row>
    <row r="519" spans="9:9">
      <c r="I519"/>
    </row>
    <row r="520" spans="9:9">
      <c r="I520"/>
    </row>
    <row r="521" spans="9:9">
      <c r="I521"/>
    </row>
    <row r="522" spans="9:9">
      <c r="I522"/>
    </row>
    <row r="523" spans="9:9">
      <c r="I523"/>
    </row>
    <row r="524" spans="9:9">
      <c r="I524"/>
    </row>
    <row r="525" spans="9:9">
      <c r="I525"/>
    </row>
    <row r="526" spans="9:9">
      <c r="I526"/>
    </row>
    <row r="527" spans="9:9">
      <c r="I527"/>
    </row>
    <row r="528" spans="9:9">
      <c r="I528"/>
    </row>
    <row r="529" spans="9:9">
      <c r="I529"/>
    </row>
    <row r="530" spans="9:9">
      <c r="I530"/>
    </row>
    <row r="531" spans="9:9">
      <c r="I531"/>
    </row>
    <row r="532" spans="9:9">
      <c r="I532"/>
    </row>
    <row r="533" spans="9:9">
      <c r="I533"/>
    </row>
    <row r="534" spans="9:9">
      <c r="I534"/>
    </row>
    <row r="535" spans="9:9">
      <c r="I535"/>
    </row>
    <row r="536" spans="9:9">
      <c r="I536"/>
    </row>
    <row r="537" spans="9:9">
      <c r="I537"/>
    </row>
    <row r="538" spans="9:9">
      <c r="I538"/>
    </row>
    <row r="539" spans="9:9">
      <c r="I539"/>
    </row>
    <row r="540" spans="9:9">
      <c r="I540"/>
    </row>
    <row r="541" spans="9:9">
      <c r="I541"/>
    </row>
    <row r="542" spans="9:9">
      <c r="I542"/>
    </row>
    <row r="543" spans="9:9">
      <c r="I543"/>
    </row>
    <row r="544" spans="9:9">
      <c r="I544"/>
    </row>
    <row r="545" spans="1:9">
      <c r="I545"/>
    </row>
    <row r="546" spans="1:9">
      <c r="I546"/>
    </row>
    <row r="547" spans="1:9">
      <c r="I547"/>
    </row>
    <row r="548" spans="1:9">
      <c r="I548"/>
    </row>
    <row r="549" spans="1:9">
      <c r="I549"/>
    </row>
    <row r="550" spans="1:9">
      <c r="I550"/>
    </row>
    <row r="551" spans="1:9">
      <c r="A551" t="s">
        <v>279</v>
      </c>
      <c r="I551"/>
    </row>
  </sheetData>
  <autoFilter ref="A1:AW502">
    <filterColumn colId="13">
      <filters blank="1">
        <filter val="1"/>
        <filter val="2"/>
        <filter val="3"/>
        <filter val="4"/>
        <filter val="5"/>
        <filter val="6"/>
      </filters>
    </filterColumn>
  </autoFilter>
  <pageMargins left="0.511811024" right="0.511811024" top="0.78740157499999996" bottom="0.78740157499999996" header="0.31496062000000002" footer="0.31496062000000002"/>
  <pageSetup paperSize="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F2" sqref="F2"/>
    </sheetView>
  </sheetViews>
  <sheetFormatPr defaultRowHeight="13.8"/>
  <cols>
    <col min="1" max="1" width="14.09765625" bestFit="1" customWidth="1"/>
    <col min="2" max="2" width="15.8984375" bestFit="1" customWidth="1"/>
  </cols>
  <sheetData>
    <row r="1" spans="1:6">
      <c r="A1" s="1" t="str">
        <f>Original!I1</f>
        <v>TELEFONE</v>
      </c>
      <c r="B1" s="1" t="str">
        <f>Original!J1</f>
        <v>QTD DE NUMEROS</v>
      </c>
      <c r="C1" s="1" t="str">
        <f>Original!K1</f>
        <v>QTD PAGOS</v>
      </c>
      <c r="D1" s="1" t="str">
        <f>Original!L1</f>
        <v>NUMEROS ESCOLHIDOS</v>
      </c>
      <c r="E1" s="1" t="str">
        <f>Original!M1</f>
        <v>NOMES ESCOLHIDOS</v>
      </c>
      <c r="F1" s="1" t="s">
        <v>298</v>
      </c>
    </row>
    <row r="2" spans="1:6">
      <c r="A2" s="1">
        <v>5511976704883</v>
      </c>
      <c r="B2" s="1">
        <f>Original!J2</f>
        <v>3</v>
      </c>
      <c r="C2" s="1">
        <f>Original!K2</f>
        <v>0</v>
      </c>
      <c r="D2" s="1" t="str">
        <f>Original!L2</f>
        <v>1, 268, 318</v>
      </c>
      <c r="E2" s="1" t="str">
        <f>Original!M2</f>
        <v>FERNANDO CUMPA ,VALENTINA ,KEVIN CUMPA</v>
      </c>
      <c r="F2" s="7" t="str">
        <f>"https://web.whatsapp.com/send/?phone="&amp;IF(LEFT(A2,2)="55","","1")&amp;A2&amp;"&amp;text=Ol%C3%A1%2C+estou+entrando+em+contato+sobre+os+numero(s)+escolhido(s)+na+rifa%2C+Podemos+falar%3F&amp;type=phone_number&amp;app_absent=0"</f>
        <v>https://web.whatsapp.com/send/?phone=5511976704883&amp;text=Ol%C3%A1%2C+estou+entrando+em+contato+sobre+os+numero(s)+escolhido(s)+na+rifa%2C+Podemos+falar%3F&amp;type=phone_number&amp;app_absent=0</v>
      </c>
    </row>
    <row r="3" spans="1:6">
      <c r="A3" s="1">
        <v>5511976704883</v>
      </c>
      <c r="B3" s="1">
        <f>Original!J3</f>
        <v>1</v>
      </c>
      <c r="C3" s="1">
        <f>Original!K3</f>
        <v>1</v>
      </c>
      <c r="D3" s="1" t="str">
        <f>Original!L3</f>
        <v>2</v>
      </c>
      <c r="E3" s="1" t="str">
        <f>Original!M3</f>
        <v>ALBERT pg</v>
      </c>
      <c r="F3" s="7" t="str">
        <f t="shared" ref="F3:F32" si="0">"https://web.whatsapp.com/send/?phone="&amp;IF(LEFT(A3,2)="55","","1")&amp;A3&amp;"&amp;text=Ol%C3%A1%2C+estou+entrando+em+contato+sobre+os+numero(s)+escolhido(s)+na+rifa%2C+Podemos+falar%3F&amp;type=phone_number&amp;app_absent=0"</f>
        <v>https://web.whatsapp.com/send/?phone=5511976704883&amp;text=Ol%C3%A1%2C+estou+entrando+em+contato+sobre+os+numero(s)+escolhido(s)+na+rifa%2C+Podemos+falar%3F&amp;type=phone_number&amp;app_absent=0</v>
      </c>
    </row>
    <row r="4" spans="1:6">
      <c r="A4" s="1">
        <v>5511976704883</v>
      </c>
      <c r="B4" s="1">
        <f>Original!J4</f>
        <v>2</v>
      </c>
      <c r="C4" s="1">
        <f>Original!K4</f>
        <v>0</v>
      </c>
      <c r="D4" s="1" t="str">
        <f>Original!L4</f>
        <v>3, 9</v>
      </c>
      <c r="E4" s="1" t="str">
        <f>Original!M4</f>
        <v>KAKA ,KAKA</v>
      </c>
      <c r="F4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5" spans="1:6">
      <c r="A5" s="1">
        <v>5511976704883</v>
      </c>
      <c r="B5" s="1">
        <f>Original!J5</f>
        <v>2</v>
      </c>
      <c r="C5" s="1">
        <f>Original!K5</f>
        <v>2</v>
      </c>
      <c r="D5" s="1" t="str">
        <f>Original!L5</f>
        <v>4, 25</v>
      </c>
      <c r="E5" s="1" t="str">
        <f>Original!M5</f>
        <v>TULIO pg ,TULIO pg</v>
      </c>
      <c r="F5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6" spans="1:6">
      <c r="A6" s="1">
        <v>5511976704883</v>
      </c>
      <c r="B6" s="1">
        <f>Original!J6</f>
        <v>1</v>
      </c>
      <c r="C6" s="1">
        <f>Original!K6</f>
        <v>1</v>
      </c>
      <c r="D6" s="1" t="str">
        <f>Original!L6</f>
        <v>5</v>
      </c>
      <c r="E6" s="1" t="str">
        <f>Original!M6</f>
        <v>VAL pg</v>
      </c>
      <c r="F6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7" spans="1:6">
      <c r="A7" s="1">
        <v>5511976704883</v>
      </c>
      <c r="B7" s="1">
        <f>Original!J7</f>
        <v>2</v>
      </c>
      <c r="C7" s="1">
        <f>Original!K7</f>
        <v>0</v>
      </c>
      <c r="D7" s="1" t="str">
        <f>Original!L7</f>
        <v>6, 67</v>
      </c>
      <c r="E7" s="1" t="str">
        <f>Original!M7</f>
        <v>ROGERIO PLUMBER ,ROGERIO PLUMBER</v>
      </c>
      <c r="F7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8" spans="1:6">
      <c r="A8" s="1">
        <v>5511976704883</v>
      </c>
      <c r="B8" s="1">
        <f>Original!J8</f>
        <v>1</v>
      </c>
      <c r="C8" s="1">
        <f>Original!K8</f>
        <v>1</v>
      </c>
      <c r="D8" s="1" t="str">
        <f>Original!L8</f>
        <v>7</v>
      </c>
      <c r="E8" s="1" t="str">
        <f>Original!M8</f>
        <v>ANDERSON JET pg</v>
      </c>
      <c r="F8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9" spans="1:6">
      <c r="A9" s="1">
        <v>5511976704883</v>
      </c>
      <c r="B9" s="1">
        <f>Original!J9</f>
        <v>6</v>
      </c>
      <c r="C9" s="1">
        <f>Original!K9</f>
        <v>0</v>
      </c>
      <c r="D9" s="1" t="str">
        <f>Original!L9</f>
        <v>8, 10, 15, 51, 72, 74</v>
      </c>
      <c r="E9" s="1" t="str">
        <f>Original!M9</f>
        <v>FRANKLYN ,FRANKLY ,FRANKLY ,FRANKLY ,FRANKLYN ,FRANKLY</v>
      </c>
      <c r="F9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0" spans="1:6">
      <c r="A10" s="1">
        <v>5511976704883</v>
      </c>
      <c r="B10" s="1">
        <f>Original!J10</f>
        <v>1</v>
      </c>
      <c r="C10" s="1">
        <f>Original!K10</f>
        <v>0</v>
      </c>
      <c r="D10" s="1" t="str">
        <f>Original!L10</f>
        <v>11</v>
      </c>
      <c r="E10" s="1" t="str">
        <f>Original!M10</f>
        <v>NETO</v>
      </c>
      <c r="F10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1" spans="1:6">
      <c r="A11" s="1">
        <v>5511976704883</v>
      </c>
      <c r="B11" s="1">
        <f>Original!J11</f>
        <v>2</v>
      </c>
      <c r="C11" s="1">
        <f>Original!K11</f>
        <v>0</v>
      </c>
      <c r="D11" s="1" t="str">
        <f>Original!L11</f>
        <v>12, 20</v>
      </c>
      <c r="E11" s="1" t="str">
        <f>Original!M11</f>
        <v>RICARDO SANTOS ,RICARDO SANTOS</v>
      </c>
      <c r="F11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2" spans="1:6">
      <c r="A12" s="1">
        <v>5511976704883</v>
      </c>
      <c r="B12" s="1">
        <f>Original!J12</f>
        <v>1</v>
      </c>
      <c r="C12" s="1">
        <f>Original!K12</f>
        <v>0</v>
      </c>
      <c r="D12" s="1" t="str">
        <f>Original!L12</f>
        <v>13</v>
      </c>
      <c r="E12" s="1" t="str">
        <f>Original!M12</f>
        <v>SEANIE/JULIA</v>
      </c>
      <c r="F12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3" spans="1:6">
      <c r="A13" s="1">
        <v>5511976704883</v>
      </c>
      <c r="B13" s="1">
        <f>Original!J13</f>
        <v>2</v>
      </c>
      <c r="C13" s="1">
        <f>Original!K13</f>
        <v>0</v>
      </c>
      <c r="D13" s="1" t="str">
        <f>Original!L13</f>
        <v>14, 17</v>
      </c>
      <c r="E13" s="1" t="str">
        <f>Original!M13</f>
        <v>GI ,GI</v>
      </c>
      <c r="F13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4" spans="1:6">
      <c r="A14" s="1">
        <v>5511976704883</v>
      </c>
      <c r="B14" s="1">
        <f>Original!J14</f>
        <v>3</v>
      </c>
      <c r="C14" s="1">
        <f>Original!K14</f>
        <v>0</v>
      </c>
      <c r="D14" s="1" t="str">
        <f>Original!L14</f>
        <v>18, 23, 198</v>
      </c>
      <c r="E14" s="1" t="str">
        <f>Original!M14</f>
        <v>SERGIO ,SERGIO ,GIL ARAUJO</v>
      </c>
      <c r="F14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5" spans="1:6">
      <c r="A15" s="1">
        <v>5511976704883</v>
      </c>
      <c r="B15" s="1">
        <f>Original!J15</f>
        <v>2</v>
      </c>
      <c r="C15" s="1">
        <f>Original!K15</f>
        <v>2</v>
      </c>
      <c r="D15" s="1" t="str">
        <f>Original!L15</f>
        <v>19, 27</v>
      </c>
      <c r="E15" s="1" t="str">
        <f>Original!M15</f>
        <v>GILSON pg ,GILSON pg</v>
      </c>
      <c r="F15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6" spans="1:6">
      <c r="A16" s="1">
        <v>5511976704883</v>
      </c>
      <c r="B16" s="1">
        <f>Original!J16</f>
        <v>5</v>
      </c>
      <c r="C16" s="1">
        <f>Original!K16</f>
        <v>4</v>
      </c>
      <c r="D16" s="1" t="str">
        <f>Original!L16</f>
        <v>21, 29, 62, 191, 500</v>
      </c>
      <c r="E16" s="1" t="str">
        <f>Original!M16</f>
        <v>SOLON pg ,SOLON pg ,EDINEI ALVES amigo solon ,SOLON pg ,SOLON pg</v>
      </c>
      <c r="F16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7" spans="1:6">
      <c r="A17" s="1">
        <v>5511976704883</v>
      </c>
      <c r="B17" s="1">
        <f>Original!J17</f>
        <v>2</v>
      </c>
      <c r="C17" s="1">
        <f>Original!K17</f>
        <v>2</v>
      </c>
      <c r="D17" s="1" t="str">
        <f>Original!L17</f>
        <v>22, 60</v>
      </c>
      <c r="E17" s="1" t="str">
        <f>Original!M17</f>
        <v>BOY pg ,BOY pg</v>
      </c>
      <c r="F17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8" spans="1:6">
      <c r="A18" s="1">
        <v>5511976704883</v>
      </c>
      <c r="B18" s="1">
        <f>Original!J18</f>
        <v>0</v>
      </c>
      <c r="C18" s="1">
        <f>Original!K18</f>
        <v>0</v>
      </c>
      <c r="D18" s="1" t="str">
        <f>Original!L18</f>
        <v/>
      </c>
      <c r="E18" s="1" t="str">
        <f>Original!M18</f>
        <v/>
      </c>
      <c r="F18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19" spans="1:6">
      <c r="A19" s="1">
        <v>5511976704883</v>
      </c>
      <c r="B19" s="1">
        <f>Original!J19</f>
        <v>4</v>
      </c>
      <c r="C19" s="1">
        <f>Original!K19</f>
        <v>0</v>
      </c>
      <c r="D19" s="1" t="str">
        <f>Original!L19</f>
        <v>26, 45, 171, 226</v>
      </c>
      <c r="E19" s="1" t="str">
        <f>Original!M19</f>
        <v>FERNANDO XARA ,FERNANDO XARA ,FERNANDO XARA ,FERNANDO XARA</v>
      </c>
      <c r="F19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0" spans="1:6">
      <c r="A20" s="1">
        <v>5511976704883</v>
      </c>
      <c r="B20" s="1">
        <f>Original!J20</f>
        <v>1</v>
      </c>
      <c r="C20" s="1">
        <f>Original!K20</f>
        <v>0</v>
      </c>
      <c r="D20" s="1" t="str">
        <f>Original!L20</f>
        <v>30</v>
      </c>
      <c r="E20" s="1" t="str">
        <f>Original!M20</f>
        <v>PAULO HENRIQUE</v>
      </c>
      <c r="F20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1" spans="1:6">
      <c r="A21" s="1">
        <v>5511976704883</v>
      </c>
      <c r="B21" s="1">
        <f>Original!J21</f>
        <v>1</v>
      </c>
      <c r="C21" s="1">
        <f>Original!K21</f>
        <v>1</v>
      </c>
      <c r="D21" s="1" t="str">
        <f>Original!L21</f>
        <v>31</v>
      </c>
      <c r="E21" s="1" t="str">
        <f>Original!M21</f>
        <v>OSNI pg</v>
      </c>
      <c r="F21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2" spans="1:6">
      <c r="A22" s="1">
        <v>5511976704883</v>
      </c>
      <c r="B22" s="1">
        <f>Original!J22</f>
        <v>1</v>
      </c>
      <c r="C22" s="1">
        <f>Original!K22</f>
        <v>1</v>
      </c>
      <c r="D22" s="1" t="str">
        <f>Original!L22</f>
        <v>33</v>
      </c>
      <c r="E22" s="1" t="str">
        <f>Original!M22</f>
        <v>JAIRO pg</v>
      </c>
      <c r="F22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3" spans="1:6">
      <c r="A23" s="1">
        <v>5511976704883</v>
      </c>
      <c r="B23" s="1">
        <f>Original!J23</f>
        <v>3</v>
      </c>
      <c r="C23" s="1">
        <f>Original!K23</f>
        <v>3</v>
      </c>
      <c r="D23" s="1" t="str">
        <f>Original!L23</f>
        <v>34, 167, 423</v>
      </c>
      <c r="E23" s="1" t="str">
        <f>Original!M23</f>
        <v>Two (Allisson) pg ,Two (Allisson)pg ,Two (Allisson) (f)</v>
      </c>
      <c r="F23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4" spans="1:6">
      <c r="A24" s="1">
        <v>5511976704883</v>
      </c>
      <c r="B24" s="1">
        <f>Original!J24</f>
        <v>1</v>
      </c>
      <c r="C24" s="1">
        <f>Original!K24</f>
        <v>0</v>
      </c>
      <c r="D24" s="1" t="str">
        <f>Original!L24</f>
        <v>35</v>
      </c>
      <c r="E24" s="1" t="str">
        <f>Original!M24</f>
        <v>BETO</v>
      </c>
      <c r="F24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5" spans="1:6">
      <c r="A25" s="1">
        <v>5511976704883</v>
      </c>
      <c r="B25" s="1">
        <f>Original!J25</f>
        <v>4</v>
      </c>
      <c r="C25" s="1">
        <f>Original!K25</f>
        <v>4</v>
      </c>
      <c r="D25" s="1" t="str">
        <f>Original!L25</f>
        <v>36, 54, 55, 88</v>
      </c>
      <c r="E25" s="1" t="str">
        <f>Original!M25</f>
        <v>ROGERINHO pg ,ROGERINHO pg ,ARLON pg ,CESAR pg</v>
      </c>
      <c r="F25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6" spans="1:6">
      <c r="A26" s="1">
        <v>5511976704883</v>
      </c>
      <c r="B26" s="1">
        <f>Original!J26</f>
        <v>2</v>
      </c>
      <c r="C26" s="1">
        <f>Original!K26</f>
        <v>0</v>
      </c>
      <c r="D26" s="1" t="str">
        <f>Original!L26</f>
        <v>37, 52</v>
      </c>
      <c r="E26" s="1" t="str">
        <f>Original!M26</f>
        <v>MARTINS ,MARTINS</v>
      </c>
      <c r="F26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7" spans="1:6">
      <c r="A27" s="1">
        <v>5511976704883</v>
      </c>
      <c r="B27" s="1">
        <f>Original!J27</f>
        <v>2</v>
      </c>
      <c r="C27" s="1">
        <f>Original!K27</f>
        <v>0</v>
      </c>
      <c r="D27" s="1" t="str">
        <f>Original!L27</f>
        <v>39, 150</v>
      </c>
      <c r="E27" s="1" t="str">
        <f>Original!M27</f>
        <v>SANZIO ,SANZIO</v>
      </c>
      <c r="F27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8" spans="1:6">
      <c r="A28" s="1">
        <v>5511976704883</v>
      </c>
      <c r="B28" s="1">
        <f>Original!J28</f>
        <v>1</v>
      </c>
      <c r="C28" s="1">
        <f>Original!K28</f>
        <v>0</v>
      </c>
      <c r="D28" s="1" t="str">
        <f>Original!L28</f>
        <v>40</v>
      </c>
      <c r="E28" s="1" t="str">
        <f>Original!M28</f>
        <v>MARCELAO</v>
      </c>
      <c r="F28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29" spans="1:6">
      <c r="A29" s="1">
        <v>5511976704883</v>
      </c>
      <c r="B29" s="1">
        <f>Original!J29</f>
        <v>2</v>
      </c>
      <c r="C29" s="1">
        <f>Original!K29</f>
        <v>0</v>
      </c>
      <c r="D29" s="1" t="str">
        <f>Original!L29</f>
        <v>41, 50</v>
      </c>
      <c r="E29" s="1" t="str">
        <f>Original!M29</f>
        <v>SIMONE ,SIMONE</v>
      </c>
      <c r="F29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30" spans="1:6">
      <c r="A30" s="1">
        <v>5511976704883</v>
      </c>
      <c r="B30" s="1">
        <f>Original!J30</f>
        <v>1</v>
      </c>
      <c r="C30" s="1">
        <f>Original!K30</f>
        <v>0</v>
      </c>
      <c r="D30" s="1" t="str">
        <f>Original!L30</f>
        <v>42</v>
      </c>
      <c r="E30" s="1" t="str">
        <f>Original!M30</f>
        <v>ALESSANDRO BARBOSA (LEO BAIA)</v>
      </c>
      <c r="F30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31" spans="1:6">
      <c r="A31" s="1">
        <v>5511976704883</v>
      </c>
      <c r="B31" s="1">
        <f>Original!J31</f>
        <v>1</v>
      </c>
      <c r="C31" s="1">
        <f>Original!K31</f>
        <v>0</v>
      </c>
      <c r="D31" s="1" t="str">
        <f>Original!L31</f>
        <v>43</v>
      </c>
      <c r="E31" s="1" t="str">
        <f>Original!M31</f>
        <v>IGOR</v>
      </c>
      <c r="F31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  <row r="32" spans="1:6">
      <c r="A32" s="1">
        <v>5511976704883</v>
      </c>
      <c r="B32" s="1">
        <f>Original!J32</f>
        <v>3</v>
      </c>
      <c r="C32" s="1">
        <f>Original!K32</f>
        <v>0</v>
      </c>
      <c r="D32" s="1" t="str">
        <f>Original!L32</f>
        <v>28, 44, 137</v>
      </c>
      <c r="E32" s="1" t="str">
        <f>Original!M32</f>
        <v>WELVERTON ,CRISTIANO ,CRISTIANO</v>
      </c>
      <c r="F32" s="7" t="str">
        <f t="shared" si="0"/>
        <v>https://web.whatsapp.com/send/?phone=5511976704883&amp;text=Ol%C3%A1%2C+estou+entrando+em+contato+sobre+os+numero(s)+escolhido(s)+na+rifa%2C+Podemos+falar%3F&amp;type=phone_number&amp;app_absent=0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1"/>
  <sheetViews>
    <sheetView workbookViewId="0">
      <selection activeCell="J1" sqref="J1:M167"/>
    </sheetView>
  </sheetViews>
  <sheetFormatPr defaultRowHeight="13.8"/>
  <cols>
    <col min="2" max="2" width="29.69921875" bestFit="1" customWidth="1"/>
    <col min="3" max="3" width="13.19921875" bestFit="1" customWidth="1"/>
  </cols>
  <sheetData>
    <row r="1" spans="1:4" ht="14.4">
      <c r="A1" t="s">
        <v>0</v>
      </c>
      <c r="B1" t="s">
        <v>1</v>
      </c>
      <c r="C1" t="s">
        <v>2</v>
      </c>
      <c r="D1" t="s">
        <v>3</v>
      </c>
    </row>
    <row r="2" spans="1:4" ht="14.4">
      <c r="A2">
        <v>1</v>
      </c>
      <c r="B2" t="s">
        <v>4</v>
      </c>
    </row>
    <row r="3" spans="1:4" ht="14.4">
      <c r="A3">
        <v>2</v>
      </c>
      <c r="B3" t="s">
        <v>5</v>
      </c>
    </row>
    <row r="4" spans="1:4" ht="14.4">
      <c r="A4">
        <v>3</v>
      </c>
      <c r="B4" t="s">
        <v>6</v>
      </c>
      <c r="C4">
        <v>2035452391</v>
      </c>
    </row>
    <row r="5" spans="1:4" ht="14.4">
      <c r="A5">
        <v>4</v>
      </c>
      <c r="B5" t="s">
        <v>7</v>
      </c>
      <c r="C5">
        <v>9144337335</v>
      </c>
    </row>
    <row r="6" spans="1:4" ht="14.4">
      <c r="A6">
        <v>5</v>
      </c>
      <c r="B6" t="s">
        <v>8</v>
      </c>
      <c r="C6">
        <v>9148828385</v>
      </c>
    </row>
    <row r="7" spans="1:4" ht="14.4">
      <c r="A7">
        <v>6</v>
      </c>
      <c r="B7" t="s">
        <v>9</v>
      </c>
      <c r="C7">
        <v>9148376239</v>
      </c>
    </row>
    <row r="8" spans="1:4" ht="14.4">
      <c r="A8">
        <v>7</v>
      </c>
      <c r="B8" t="s">
        <v>10</v>
      </c>
      <c r="C8">
        <v>9142276261</v>
      </c>
    </row>
    <row r="9" spans="1:4" ht="14.4">
      <c r="A9">
        <v>8</v>
      </c>
      <c r="B9" t="s">
        <v>11</v>
      </c>
      <c r="C9">
        <v>2039817839</v>
      </c>
    </row>
    <row r="10" spans="1:4" ht="14.4">
      <c r="A10">
        <v>9</v>
      </c>
      <c r="B10" t="s">
        <v>6</v>
      </c>
    </row>
    <row r="11" spans="1:4" ht="14.4">
      <c r="A11">
        <v>10</v>
      </c>
      <c r="B11" t="s">
        <v>12</v>
      </c>
    </row>
    <row r="12" spans="1:4" ht="14.4">
      <c r="A12">
        <v>11</v>
      </c>
      <c r="B12" t="s">
        <v>13</v>
      </c>
      <c r="C12">
        <v>9145620814</v>
      </c>
    </row>
    <row r="13" spans="1:4" ht="14.4">
      <c r="A13">
        <v>12</v>
      </c>
      <c r="B13" t="s">
        <v>14</v>
      </c>
      <c r="C13">
        <v>2037150399</v>
      </c>
    </row>
    <row r="14" spans="1:4" ht="14.4">
      <c r="A14">
        <v>13</v>
      </c>
      <c r="B14" t="s">
        <v>15</v>
      </c>
      <c r="C14">
        <v>2039050226</v>
      </c>
    </row>
    <row r="15" spans="1:4" ht="14.4">
      <c r="A15">
        <v>14</v>
      </c>
      <c r="B15" t="s">
        <v>16</v>
      </c>
      <c r="C15">
        <v>2034244624</v>
      </c>
    </row>
    <row r="16" spans="1:4" ht="14.4">
      <c r="A16">
        <v>15</v>
      </c>
      <c r="B16" t="s">
        <v>12</v>
      </c>
    </row>
    <row r="17" spans="1:3" ht="14.4">
      <c r="A17">
        <v>16</v>
      </c>
      <c r="B17" t="s">
        <v>17</v>
      </c>
      <c r="C17">
        <v>9143569767</v>
      </c>
    </row>
    <row r="18" spans="1:3" ht="14.4">
      <c r="A18">
        <v>17</v>
      </c>
      <c r="B18" t="s">
        <v>16</v>
      </c>
    </row>
    <row r="19" spans="1:3" ht="14.4">
      <c r="A19">
        <v>18</v>
      </c>
      <c r="B19" t="s">
        <v>18</v>
      </c>
      <c r="C19">
        <v>2038580805</v>
      </c>
    </row>
    <row r="20" spans="1:3" ht="14.4">
      <c r="A20">
        <v>19</v>
      </c>
      <c r="B20" t="s">
        <v>19</v>
      </c>
      <c r="C20">
        <v>2032803585</v>
      </c>
    </row>
    <row r="21" spans="1:3" ht="14.4">
      <c r="A21">
        <v>20</v>
      </c>
      <c r="B21" t="s">
        <v>14</v>
      </c>
    </row>
    <row r="22" spans="1:3" ht="14.4">
      <c r="A22">
        <v>21</v>
      </c>
      <c r="B22" t="s">
        <v>20</v>
      </c>
      <c r="C22">
        <v>2033490246</v>
      </c>
    </row>
    <row r="23" spans="1:3" ht="14.4">
      <c r="A23">
        <v>22</v>
      </c>
      <c r="B23" t="s">
        <v>21</v>
      </c>
      <c r="C23">
        <v>9144975684</v>
      </c>
    </row>
    <row r="24" spans="1:3" ht="14.4">
      <c r="A24">
        <v>23</v>
      </c>
      <c r="B24" t="s">
        <v>18</v>
      </c>
      <c r="C24">
        <v>2038580805</v>
      </c>
    </row>
    <row r="25" spans="1:3" ht="14.4">
      <c r="A25">
        <v>24</v>
      </c>
      <c r="B25" t="s">
        <v>22</v>
      </c>
    </row>
    <row r="26" spans="1:3" ht="14.4">
      <c r="A26">
        <v>25</v>
      </c>
      <c r="B26" t="s">
        <v>7</v>
      </c>
      <c r="C26">
        <v>9144337335</v>
      </c>
    </row>
    <row r="27" spans="1:3" ht="14.4">
      <c r="A27">
        <v>26</v>
      </c>
      <c r="B27" t="s">
        <v>23</v>
      </c>
      <c r="C27">
        <v>2039943998</v>
      </c>
    </row>
    <row r="28" spans="1:3" ht="14.4">
      <c r="A28">
        <v>27</v>
      </c>
      <c r="B28" t="s">
        <v>19</v>
      </c>
      <c r="C28">
        <v>2032803585</v>
      </c>
    </row>
    <row r="29" spans="1:3" ht="14.4">
      <c r="A29">
        <v>28</v>
      </c>
      <c r="B29" t="s">
        <v>24</v>
      </c>
    </row>
    <row r="30" spans="1:3" ht="14.4">
      <c r="A30">
        <v>29</v>
      </c>
      <c r="B30" t="s">
        <v>20</v>
      </c>
      <c r="C30">
        <v>2033490246</v>
      </c>
    </row>
    <row r="31" spans="1:3" ht="14.4">
      <c r="A31">
        <v>30</v>
      </c>
      <c r="B31" t="s">
        <v>25</v>
      </c>
    </row>
    <row r="32" spans="1:3" ht="14.4">
      <c r="A32">
        <v>31</v>
      </c>
      <c r="B32" t="s">
        <v>26</v>
      </c>
      <c r="C32">
        <v>2038731605</v>
      </c>
    </row>
    <row r="33" spans="1:3" ht="14.4">
      <c r="A33">
        <v>32</v>
      </c>
      <c r="B33" t="s">
        <v>27</v>
      </c>
    </row>
    <row r="34" spans="1:3" ht="14.4">
      <c r="A34">
        <v>33</v>
      </c>
      <c r="B34" t="s">
        <v>28</v>
      </c>
      <c r="C34">
        <v>2035595696</v>
      </c>
    </row>
    <row r="35" spans="1:3" ht="14.4">
      <c r="A35">
        <v>34</v>
      </c>
      <c r="B35" t="s">
        <v>29</v>
      </c>
      <c r="C35">
        <v>2039534887</v>
      </c>
    </row>
    <row r="36" spans="1:3" ht="14.4">
      <c r="A36">
        <v>35</v>
      </c>
      <c r="B36" t="s">
        <v>30</v>
      </c>
      <c r="C36">
        <v>2032437348</v>
      </c>
    </row>
    <row r="37" spans="1:3" ht="14.4">
      <c r="A37">
        <v>36</v>
      </c>
      <c r="B37" t="s">
        <v>31</v>
      </c>
      <c r="C37">
        <v>2035158719</v>
      </c>
    </row>
    <row r="38" spans="1:3" ht="14.4">
      <c r="A38">
        <v>37</v>
      </c>
      <c r="B38" t="s">
        <v>32</v>
      </c>
      <c r="C38">
        <v>2039483635</v>
      </c>
    </row>
    <row r="39" spans="1:3" ht="14.4">
      <c r="A39">
        <v>38</v>
      </c>
      <c r="B39" t="s">
        <v>22</v>
      </c>
    </row>
    <row r="40" spans="1:3" ht="14.4">
      <c r="A40">
        <v>39</v>
      </c>
      <c r="B40" t="s">
        <v>33</v>
      </c>
      <c r="C40">
        <v>2038566452</v>
      </c>
    </row>
    <row r="41" spans="1:3" ht="14.4">
      <c r="A41">
        <v>40</v>
      </c>
      <c r="B41" t="s">
        <v>34</v>
      </c>
      <c r="C41">
        <v>2033606365</v>
      </c>
    </row>
    <row r="42" spans="1:3" ht="14.4">
      <c r="A42">
        <v>41</v>
      </c>
      <c r="B42" t="s">
        <v>35</v>
      </c>
    </row>
    <row r="43" spans="1:3">
      <c r="A43">
        <v>42</v>
      </c>
      <c r="B43" t="s">
        <v>36</v>
      </c>
      <c r="C43">
        <v>4759884337</v>
      </c>
    </row>
    <row r="44" spans="1:3">
      <c r="A44">
        <v>43</v>
      </c>
      <c r="B44" t="s">
        <v>37</v>
      </c>
    </row>
    <row r="45" spans="1:3">
      <c r="A45">
        <v>44</v>
      </c>
      <c r="B45" t="s">
        <v>38</v>
      </c>
    </row>
    <row r="46" spans="1:3">
      <c r="A46">
        <v>45</v>
      </c>
      <c r="B46" t="s">
        <v>23</v>
      </c>
    </row>
    <row r="47" spans="1:3">
      <c r="A47">
        <v>46</v>
      </c>
      <c r="B47" t="s">
        <v>39</v>
      </c>
      <c r="C47">
        <v>2038185657</v>
      </c>
    </row>
    <row r="48" spans="1:3">
      <c r="A48">
        <v>47</v>
      </c>
      <c r="B48" t="s">
        <v>40</v>
      </c>
      <c r="C48">
        <v>2032122279</v>
      </c>
    </row>
    <row r="49" spans="1:3">
      <c r="A49">
        <v>48</v>
      </c>
      <c r="B49" t="s">
        <v>41</v>
      </c>
      <c r="C49">
        <v>2038148765</v>
      </c>
    </row>
    <row r="50" spans="1:3">
      <c r="A50">
        <v>49</v>
      </c>
      <c r="B50" t="s">
        <v>42</v>
      </c>
      <c r="C50">
        <v>2036679981</v>
      </c>
    </row>
    <row r="51" spans="1:3">
      <c r="A51">
        <v>50</v>
      </c>
      <c r="B51" t="s">
        <v>35</v>
      </c>
      <c r="C51">
        <v>4753621811</v>
      </c>
    </row>
    <row r="52" spans="1:3">
      <c r="A52">
        <v>51</v>
      </c>
      <c r="B52" t="s">
        <v>12</v>
      </c>
    </row>
    <row r="53" spans="1:3">
      <c r="A53">
        <v>52</v>
      </c>
      <c r="B53" t="s">
        <v>32</v>
      </c>
    </row>
    <row r="54" spans="1:3">
      <c r="A54">
        <v>53</v>
      </c>
      <c r="B54" t="s">
        <v>43</v>
      </c>
    </row>
    <row r="55" spans="1:3">
      <c r="A55">
        <v>54</v>
      </c>
      <c r="B55" t="s">
        <v>31</v>
      </c>
      <c r="C55">
        <v>2035158719</v>
      </c>
    </row>
    <row r="56" spans="1:3">
      <c r="A56">
        <v>55</v>
      </c>
      <c r="B56" t="s">
        <v>44</v>
      </c>
    </row>
    <row r="57" spans="1:3">
      <c r="A57">
        <v>56</v>
      </c>
      <c r="B57" t="s">
        <v>45</v>
      </c>
    </row>
    <row r="58" spans="1:3">
      <c r="A58">
        <v>57</v>
      </c>
      <c r="B58" t="s">
        <v>46</v>
      </c>
    </row>
    <row r="59" spans="1:3">
      <c r="A59">
        <v>58</v>
      </c>
      <c r="B59" t="s">
        <v>47</v>
      </c>
      <c r="C59">
        <v>2032570853</v>
      </c>
    </row>
    <row r="60" spans="1:3">
      <c r="A60">
        <v>59</v>
      </c>
      <c r="B60" t="s">
        <v>48</v>
      </c>
      <c r="C60">
        <v>2038583797</v>
      </c>
    </row>
    <row r="61" spans="1:3">
      <c r="A61">
        <v>60</v>
      </c>
      <c r="B61" t="s">
        <v>21</v>
      </c>
    </row>
    <row r="62" spans="1:3">
      <c r="A62">
        <v>61</v>
      </c>
      <c r="B62" t="s">
        <v>49</v>
      </c>
      <c r="C62">
        <v>2036105893</v>
      </c>
    </row>
    <row r="63" spans="1:3">
      <c r="A63">
        <v>62</v>
      </c>
      <c r="B63" t="s">
        <v>50</v>
      </c>
      <c r="C63">
        <v>2033490246</v>
      </c>
    </row>
    <row r="64" spans="1:3">
      <c r="A64">
        <v>63</v>
      </c>
      <c r="B64" t="s">
        <v>51</v>
      </c>
      <c r="C64">
        <v>9147602272</v>
      </c>
    </row>
    <row r="65" spans="1:3">
      <c r="A65">
        <v>64</v>
      </c>
      <c r="B65" t="s">
        <v>51</v>
      </c>
    </row>
    <row r="66" spans="1:3">
      <c r="A66">
        <v>65</v>
      </c>
      <c r="B66" t="s">
        <v>43</v>
      </c>
      <c r="C66">
        <v>9144399667</v>
      </c>
    </row>
    <row r="67" spans="1:3">
      <c r="A67">
        <v>66</v>
      </c>
      <c r="B67" t="s">
        <v>52</v>
      </c>
      <c r="C67">
        <v>6178661781</v>
      </c>
    </row>
    <row r="68" spans="1:3">
      <c r="A68">
        <v>67</v>
      </c>
      <c r="B68" t="s">
        <v>9</v>
      </c>
      <c r="C68">
        <v>9148376239</v>
      </c>
    </row>
    <row r="69" spans="1:3">
      <c r="A69">
        <v>68</v>
      </c>
      <c r="B69" t="s">
        <v>52</v>
      </c>
    </row>
    <row r="70" spans="1:3">
      <c r="A70">
        <v>69</v>
      </c>
      <c r="B70" t="s">
        <v>45</v>
      </c>
    </row>
    <row r="71" spans="1:3">
      <c r="A71">
        <v>70</v>
      </c>
      <c r="B71" t="s">
        <v>53</v>
      </c>
    </row>
    <row r="72" spans="1:3">
      <c r="A72">
        <v>71</v>
      </c>
      <c r="B72" t="s">
        <v>54</v>
      </c>
    </row>
    <row r="73" spans="1:3">
      <c r="A73">
        <v>72</v>
      </c>
      <c r="B73" t="s">
        <v>11</v>
      </c>
    </row>
    <row r="74" spans="1:3">
      <c r="A74">
        <v>73</v>
      </c>
      <c r="B74" t="s">
        <v>55</v>
      </c>
    </row>
    <row r="75" spans="1:3">
      <c r="A75">
        <v>74</v>
      </c>
      <c r="B75" t="s">
        <v>12</v>
      </c>
    </row>
    <row r="76" spans="1:3">
      <c r="A76">
        <v>75</v>
      </c>
      <c r="B76" t="s">
        <v>56</v>
      </c>
      <c r="C76">
        <v>2036006922</v>
      </c>
    </row>
    <row r="77" spans="1:3">
      <c r="A77">
        <v>76</v>
      </c>
      <c r="B77" t="s">
        <v>57</v>
      </c>
    </row>
    <row r="78" spans="1:3">
      <c r="A78">
        <v>77</v>
      </c>
      <c r="B78" t="s">
        <v>58</v>
      </c>
    </row>
    <row r="79" spans="1:3">
      <c r="A79">
        <v>78</v>
      </c>
      <c r="B79" t="s">
        <v>59</v>
      </c>
      <c r="C79">
        <v>2039819598</v>
      </c>
    </row>
    <row r="80" spans="1:3">
      <c r="A80">
        <v>79</v>
      </c>
      <c r="B80" t="s">
        <v>60</v>
      </c>
    </row>
    <row r="81" spans="1:3">
      <c r="A81">
        <v>80</v>
      </c>
      <c r="B81" t="s">
        <v>61</v>
      </c>
    </row>
    <row r="82" spans="1:3">
      <c r="A82">
        <v>81</v>
      </c>
      <c r="B82" t="s">
        <v>58</v>
      </c>
    </row>
    <row r="83" spans="1:3">
      <c r="A83">
        <v>82</v>
      </c>
      <c r="B83" t="s">
        <v>62</v>
      </c>
      <c r="C83">
        <v>3528902004</v>
      </c>
    </row>
    <row r="84" spans="1:3">
      <c r="A84">
        <v>83</v>
      </c>
      <c r="B84" t="s">
        <v>63</v>
      </c>
    </row>
    <row r="85" spans="1:3">
      <c r="A85">
        <v>84</v>
      </c>
      <c r="B85" t="s">
        <v>64</v>
      </c>
    </row>
    <row r="86" spans="1:3">
      <c r="A86">
        <v>85</v>
      </c>
      <c r="B86" t="s">
        <v>65</v>
      </c>
    </row>
    <row r="87" spans="1:3">
      <c r="A87">
        <v>86</v>
      </c>
      <c r="B87" t="s">
        <v>66</v>
      </c>
      <c r="C87">
        <v>2036925867</v>
      </c>
    </row>
    <row r="88" spans="1:3">
      <c r="A88">
        <v>87</v>
      </c>
      <c r="B88" t="s">
        <v>67</v>
      </c>
      <c r="C88">
        <v>2035401836</v>
      </c>
    </row>
    <row r="89" spans="1:3">
      <c r="A89">
        <v>88</v>
      </c>
      <c r="B89" t="s">
        <v>68</v>
      </c>
    </row>
    <row r="90" spans="1:3">
      <c r="A90">
        <v>89</v>
      </c>
      <c r="B90" t="s">
        <v>69</v>
      </c>
      <c r="C90">
        <v>9145656120</v>
      </c>
    </row>
    <row r="91" spans="1:3">
      <c r="A91">
        <v>90</v>
      </c>
      <c r="B91" t="s">
        <v>70</v>
      </c>
    </row>
    <row r="92" spans="1:3">
      <c r="A92">
        <v>91</v>
      </c>
      <c r="B92" t="s">
        <v>71</v>
      </c>
    </row>
    <row r="93" spans="1:3">
      <c r="A93">
        <v>92</v>
      </c>
      <c r="B93" t="s">
        <v>72</v>
      </c>
      <c r="C93">
        <v>2035239177</v>
      </c>
    </row>
    <row r="94" spans="1:3">
      <c r="A94">
        <v>93</v>
      </c>
      <c r="B94" t="s">
        <v>73</v>
      </c>
      <c r="C94">
        <v>6178402356</v>
      </c>
    </row>
    <row r="95" spans="1:3">
      <c r="A95">
        <v>94</v>
      </c>
      <c r="B95" t="s">
        <v>74</v>
      </c>
    </row>
    <row r="96" spans="1:3">
      <c r="A96">
        <v>95</v>
      </c>
      <c r="B96" t="s">
        <v>75</v>
      </c>
    </row>
    <row r="97" spans="1:3">
      <c r="A97">
        <v>96</v>
      </c>
      <c r="B97" t="s">
        <v>76</v>
      </c>
      <c r="C97">
        <v>9145659101</v>
      </c>
    </row>
    <row r="98" spans="1:3">
      <c r="A98">
        <v>97</v>
      </c>
      <c r="B98" t="s">
        <v>77</v>
      </c>
      <c r="C98">
        <v>2035597817</v>
      </c>
    </row>
    <row r="99" spans="1:3">
      <c r="A99">
        <v>98</v>
      </c>
      <c r="B99" t="s">
        <v>57</v>
      </c>
    </row>
    <row r="100" spans="1:3">
      <c r="A100">
        <v>99</v>
      </c>
      <c r="B100" t="s">
        <v>78</v>
      </c>
      <c r="C100">
        <v>9143918505</v>
      </c>
    </row>
    <row r="101" spans="1:3">
      <c r="A101">
        <v>100</v>
      </c>
      <c r="B101" t="s">
        <v>79</v>
      </c>
      <c r="C101">
        <v>2035439473</v>
      </c>
    </row>
    <row r="102" spans="1:3">
      <c r="A102">
        <v>101</v>
      </c>
      <c r="B102" t="s">
        <v>80</v>
      </c>
    </row>
    <row r="103" spans="1:3">
      <c r="A103">
        <v>102</v>
      </c>
      <c r="B103" t="s">
        <v>81</v>
      </c>
      <c r="C103">
        <v>2672706341</v>
      </c>
    </row>
    <row r="104" spans="1:3">
      <c r="A104">
        <v>103</v>
      </c>
      <c r="B104" t="s">
        <v>82</v>
      </c>
    </row>
    <row r="105" spans="1:3">
      <c r="A105">
        <v>104</v>
      </c>
      <c r="B105" t="s">
        <v>81</v>
      </c>
      <c r="C105">
        <v>2672706341</v>
      </c>
    </row>
    <row r="106" spans="1:3">
      <c r="A106">
        <v>105</v>
      </c>
      <c r="B106" t="s">
        <v>83</v>
      </c>
      <c r="C106">
        <v>9146095697</v>
      </c>
    </row>
    <row r="107" spans="1:3">
      <c r="A107">
        <v>106</v>
      </c>
      <c r="B107" t="s">
        <v>81</v>
      </c>
    </row>
    <row r="108" spans="1:3">
      <c r="A108">
        <v>107</v>
      </c>
      <c r="B108" t="s">
        <v>84</v>
      </c>
    </row>
    <row r="109" spans="1:3">
      <c r="A109">
        <v>108</v>
      </c>
      <c r="B109" t="s">
        <v>85</v>
      </c>
      <c r="C109">
        <v>2032432447</v>
      </c>
    </row>
    <row r="110" spans="1:3">
      <c r="A110">
        <v>109</v>
      </c>
      <c r="B110" t="s">
        <v>86</v>
      </c>
    </row>
    <row r="111" spans="1:3">
      <c r="A111">
        <v>110</v>
      </c>
      <c r="B111" t="s">
        <v>39</v>
      </c>
    </row>
    <row r="112" spans="1:3">
      <c r="A112">
        <v>111</v>
      </c>
      <c r="B112" t="s">
        <v>87</v>
      </c>
      <c r="C112">
        <v>9148302799</v>
      </c>
    </row>
    <row r="113" spans="1:3">
      <c r="A113">
        <v>112</v>
      </c>
      <c r="B113" t="s">
        <v>88</v>
      </c>
    </row>
    <row r="114" spans="1:3">
      <c r="A114">
        <v>113</v>
      </c>
      <c r="B114" t="s">
        <v>89</v>
      </c>
      <c r="C114">
        <v>2035456330</v>
      </c>
    </row>
    <row r="115" spans="1:3">
      <c r="A115">
        <v>114</v>
      </c>
      <c r="B115" t="s">
        <v>90</v>
      </c>
      <c r="C115">
        <v>4752142518</v>
      </c>
    </row>
    <row r="116" spans="1:3">
      <c r="A116">
        <v>115</v>
      </c>
      <c r="B116" t="s">
        <v>91</v>
      </c>
      <c r="C116">
        <v>2035192109</v>
      </c>
    </row>
    <row r="117" spans="1:3">
      <c r="A117">
        <v>116</v>
      </c>
      <c r="B117" t="s">
        <v>92</v>
      </c>
      <c r="C117">
        <v>2034909082</v>
      </c>
    </row>
    <row r="118" spans="1:3">
      <c r="A118">
        <v>117</v>
      </c>
      <c r="B118" t="s">
        <v>93</v>
      </c>
      <c r="C118">
        <v>2034029369</v>
      </c>
    </row>
    <row r="119" spans="1:3">
      <c r="A119">
        <v>118</v>
      </c>
      <c r="B119" t="s">
        <v>89</v>
      </c>
    </row>
    <row r="120" spans="1:3">
      <c r="A120">
        <v>119</v>
      </c>
      <c r="B120" t="s">
        <v>94</v>
      </c>
    </row>
    <row r="121" spans="1:3">
      <c r="A121">
        <v>120</v>
      </c>
      <c r="B121" t="s">
        <v>58</v>
      </c>
    </row>
    <row r="122" spans="1:3">
      <c r="A122">
        <v>121</v>
      </c>
      <c r="B122" t="s">
        <v>51</v>
      </c>
    </row>
    <row r="123" spans="1:3">
      <c r="A123">
        <v>122</v>
      </c>
      <c r="B123" t="s">
        <v>95</v>
      </c>
      <c r="C123">
        <v>2035218381</v>
      </c>
    </row>
    <row r="124" spans="1:3">
      <c r="A124">
        <v>123</v>
      </c>
      <c r="B124" t="s">
        <v>96</v>
      </c>
      <c r="C124">
        <v>9144979492</v>
      </c>
    </row>
    <row r="125" spans="1:3">
      <c r="A125">
        <v>124</v>
      </c>
      <c r="B125" t="s">
        <v>97</v>
      </c>
    </row>
    <row r="126" spans="1:3">
      <c r="A126">
        <v>125</v>
      </c>
      <c r="B126" t="s">
        <v>98</v>
      </c>
      <c r="C126">
        <v>9149060181</v>
      </c>
    </row>
    <row r="127" spans="1:3">
      <c r="A127">
        <v>126</v>
      </c>
      <c r="B127" t="s">
        <v>45</v>
      </c>
    </row>
    <row r="128" spans="1:3">
      <c r="A128">
        <v>127</v>
      </c>
      <c r="B128" t="s">
        <v>99</v>
      </c>
      <c r="C128">
        <v>2039123543</v>
      </c>
    </row>
    <row r="129" spans="1:3">
      <c r="A129">
        <v>128</v>
      </c>
      <c r="B129" t="s">
        <v>51</v>
      </c>
    </row>
    <row r="130" spans="1:3">
      <c r="A130">
        <v>129</v>
      </c>
      <c r="B130" t="s">
        <v>100</v>
      </c>
    </row>
    <row r="131" spans="1:3">
      <c r="A131">
        <v>130</v>
      </c>
      <c r="B131" t="s">
        <v>101</v>
      </c>
      <c r="C131">
        <v>4752368737</v>
      </c>
    </row>
    <row r="132" spans="1:3">
      <c r="A132">
        <v>131</v>
      </c>
      <c r="B132" t="s">
        <v>89</v>
      </c>
    </row>
    <row r="133" spans="1:3">
      <c r="A133">
        <v>132</v>
      </c>
      <c r="B133" t="s">
        <v>102</v>
      </c>
    </row>
    <row r="134" spans="1:3">
      <c r="A134">
        <v>133</v>
      </c>
      <c r="B134" t="s">
        <v>103</v>
      </c>
      <c r="C134">
        <v>9146093241</v>
      </c>
    </row>
    <row r="135" spans="1:3">
      <c r="A135">
        <v>134</v>
      </c>
      <c r="B135" t="s">
        <v>17</v>
      </c>
      <c r="C135">
        <v>9143569767</v>
      </c>
    </row>
    <row r="136" spans="1:3">
      <c r="A136">
        <v>135</v>
      </c>
      <c r="B136" t="s">
        <v>104</v>
      </c>
      <c r="C136">
        <v>2038647378</v>
      </c>
    </row>
    <row r="137" spans="1:3">
      <c r="A137">
        <v>136</v>
      </c>
      <c r="B137" t="s">
        <v>105</v>
      </c>
      <c r="C137">
        <v>9145654952</v>
      </c>
    </row>
    <row r="138" spans="1:3">
      <c r="A138">
        <v>137</v>
      </c>
      <c r="B138" t="s">
        <v>38</v>
      </c>
    </row>
    <row r="139" spans="1:3">
      <c r="A139">
        <v>138</v>
      </c>
      <c r="B139" t="s">
        <v>106</v>
      </c>
      <c r="C139">
        <v>2038985149</v>
      </c>
    </row>
    <row r="140" spans="1:3">
      <c r="A140">
        <v>139</v>
      </c>
      <c r="B140" t="s">
        <v>106</v>
      </c>
    </row>
    <row r="141" spans="1:3">
      <c r="A141">
        <v>140</v>
      </c>
      <c r="B141" t="s">
        <v>107</v>
      </c>
    </row>
    <row r="142" spans="1:3">
      <c r="A142">
        <v>141</v>
      </c>
      <c r="B142" t="s">
        <v>108</v>
      </c>
    </row>
    <row r="143" spans="1:3">
      <c r="A143">
        <v>142</v>
      </c>
      <c r="B143" t="s">
        <v>109</v>
      </c>
    </row>
    <row r="144" spans="1:3">
      <c r="A144">
        <v>143</v>
      </c>
      <c r="B144" t="s">
        <v>110</v>
      </c>
      <c r="C144">
        <v>9144862420</v>
      </c>
    </row>
    <row r="145" spans="1:3">
      <c r="A145">
        <v>144</v>
      </c>
      <c r="B145" t="s">
        <v>89</v>
      </c>
    </row>
    <row r="146" spans="1:3">
      <c r="A146">
        <v>145</v>
      </c>
      <c r="B146" t="s">
        <v>111</v>
      </c>
      <c r="C146">
        <v>4752368737</v>
      </c>
    </row>
    <row r="147" spans="1:3">
      <c r="A147">
        <v>146</v>
      </c>
      <c r="B147" t="s">
        <v>112</v>
      </c>
      <c r="C147">
        <v>9144901203</v>
      </c>
    </row>
    <row r="148" spans="1:3">
      <c r="A148">
        <v>147</v>
      </c>
      <c r="B148" t="s">
        <v>58</v>
      </c>
      <c r="C148">
        <v>9144175819</v>
      </c>
    </row>
    <row r="149" spans="1:3">
      <c r="A149">
        <v>148</v>
      </c>
      <c r="B149" t="s">
        <v>113</v>
      </c>
    </row>
    <row r="150" spans="1:3">
      <c r="A150">
        <v>149</v>
      </c>
      <c r="B150" t="s">
        <v>114</v>
      </c>
      <c r="C150">
        <v>9148069703</v>
      </c>
    </row>
    <row r="151" spans="1:3">
      <c r="A151">
        <v>150</v>
      </c>
      <c r="B151" t="s">
        <v>33</v>
      </c>
    </row>
    <row r="152" spans="1:3">
      <c r="A152">
        <v>151</v>
      </c>
      <c r="B152" t="s">
        <v>115</v>
      </c>
      <c r="C152">
        <v>2039524111</v>
      </c>
    </row>
    <row r="153" spans="1:3">
      <c r="A153">
        <v>152</v>
      </c>
      <c r="B153" t="s">
        <v>116</v>
      </c>
      <c r="C153">
        <v>2039804388</v>
      </c>
    </row>
    <row r="154" spans="1:3">
      <c r="A154">
        <v>153</v>
      </c>
      <c r="B154" t="s">
        <v>117</v>
      </c>
    </row>
    <row r="155" spans="1:3">
      <c r="A155">
        <v>154</v>
      </c>
      <c r="B155" t="s">
        <v>118</v>
      </c>
    </row>
    <row r="156" spans="1:3">
      <c r="A156">
        <v>155</v>
      </c>
      <c r="B156" t="s">
        <v>119</v>
      </c>
    </row>
    <row r="157" spans="1:3">
      <c r="A157">
        <v>156</v>
      </c>
      <c r="B157" t="s">
        <v>120</v>
      </c>
    </row>
    <row r="158" spans="1:3">
      <c r="A158">
        <v>157</v>
      </c>
      <c r="B158" t="s">
        <v>121</v>
      </c>
    </row>
    <row r="159" spans="1:3">
      <c r="A159">
        <v>158</v>
      </c>
      <c r="B159" t="s">
        <v>117</v>
      </c>
    </row>
    <row r="160" spans="1:3">
      <c r="A160">
        <v>159</v>
      </c>
      <c r="B160" t="s">
        <v>122</v>
      </c>
      <c r="C160">
        <v>9143569767</v>
      </c>
    </row>
    <row r="161" spans="1:3">
      <c r="A161">
        <v>160</v>
      </c>
      <c r="B161" t="s">
        <v>123</v>
      </c>
    </row>
    <row r="162" spans="1:3">
      <c r="A162">
        <v>161</v>
      </c>
      <c r="B162" t="s">
        <v>121</v>
      </c>
    </row>
    <row r="163" spans="1:3">
      <c r="A163">
        <v>162</v>
      </c>
      <c r="B163" t="s">
        <v>124</v>
      </c>
    </row>
    <row r="164" spans="1:3">
      <c r="A164">
        <v>163</v>
      </c>
      <c r="B164" t="s">
        <v>125</v>
      </c>
    </row>
    <row r="165" spans="1:3">
      <c r="A165">
        <v>164</v>
      </c>
      <c r="B165" t="s">
        <v>126</v>
      </c>
      <c r="C165">
        <v>9145620301</v>
      </c>
    </row>
    <row r="166" spans="1:3">
      <c r="A166">
        <v>165</v>
      </c>
      <c r="B166" t="s">
        <v>126</v>
      </c>
    </row>
    <row r="167" spans="1:3">
      <c r="A167">
        <v>166</v>
      </c>
      <c r="B167" t="s">
        <v>127</v>
      </c>
    </row>
    <row r="168" spans="1:3">
      <c r="A168">
        <v>167</v>
      </c>
      <c r="B168" t="s">
        <v>128</v>
      </c>
    </row>
    <row r="169" spans="1:3">
      <c r="A169">
        <v>168</v>
      </c>
      <c r="B169" t="s">
        <v>129</v>
      </c>
    </row>
    <row r="170" spans="1:3">
      <c r="A170">
        <v>169</v>
      </c>
      <c r="B170" t="s">
        <v>130</v>
      </c>
      <c r="C170">
        <v>2036105893</v>
      </c>
    </row>
    <row r="171" spans="1:3">
      <c r="A171">
        <v>170</v>
      </c>
      <c r="B171" t="s">
        <v>131</v>
      </c>
      <c r="C171">
        <v>2035360916</v>
      </c>
    </row>
    <row r="172" spans="1:3">
      <c r="A172">
        <v>171</v>
      </c>
      <c r="B172" t="s">
        <v>23</v>
      </c>
    </row>
    <row r="173" spans="1:3">
      <c r="A173">
        <v>172</v>
      </c>
      <c r="B173" t="s">
        <v>132</v>
      </c>
      <c r="C173">
        <v>4754493737</v>
      </c>
    </row>
    <row r="174" spans="1:3">
      <c r="A174">
        <v>173</v>
      </c>
    </row>
    <row r="175" spans="1:3">
      <c r="A175">
        <v>174</v>
      </c>
    </row>
    <row r="176" spans="1:3">
      <c r="A176">
        <v>175</v>
      </c>
      <c r="B176" t="s">
        <v>133</v>
      </c>
    </row>
    <row r="177" spans="1:3">
      <c r="A177">
        <v>176</v>
      </c>
    </row>
    <row r="178" spans="1:3">
      <c r="A178">
        <v>177</v>
      </c>
      <c r="B178" t="s">
        <v>95</v>
      </c>
      <c r="C178">
        <v>2035218381</v>
      </c>
    </row>
    <row r="179" spans="1:3">
      <c r="A179">
        <v>178</v>
      </c>
      <c r="B179" t="s">
        <v>95</v>
      </c>
    </row>
    <row r="180" spans="1:3">
      <c r="A180">
        <v>179</v>
      </c>
      <c r="B180" t="s">
        <v>134</v>
      </c>
      <c r="C180">
        <v>4754496806</v>
      </c>
    </row>
    <row r="181" spans="1:3">
      <c r="A181">
        <v>180</v>
      </c>
      <c r="B181" t="s">
        <v>135</v>
      </c>
    </row>
    <row r="182" spans="1:3">
      <c r="A182">
        <v>181</v>
      </c>
      <c r="B182" t="s">
        <v>71</v>
      </c>
      <c r="C182">
        <v>2034285344</v>
      </c>
    </row>
    <row r="183" spans="1:3">
      <c r="A183">
        <v>182</v>
      </c>
      <c r="B183" t="s">
        <v>136</v>
      </c>
      <c r="C183">
        <v>2034494860</v>
      </c>
    </row>
    <row r="184" spans="1:3">
      <c r="A184">
        <v>183</v>
      </c>
    </row>
    <row r="185" spans="1:3">
      <c r="A185">
        <v>184</v>
      </c>
    </row>
    <row r="186" spans="1:3">
      <c r="A186">
        <v>185</v>
      </c>
      <c r="B186" t="s">
        <v>137</v>
      </c>
      <c r="C186">
        <v>6465429753</v>
      </c>
    </row>
    <row r="187" spans="1:3">
      <c r="A187">
        <v>186</v>
      </c>
    </row>
    <row r="188" spans="1:3">
      <c r="A188">
        <v>187</v>
      </c>
      <c r="B188" t="s">
        <v>138</v>
      </c>
      <c r="C188">
        <v>9142306486</v>
      </c>
    </row>
    <row r="189" spans="1:3">
      <c r="A189">
        <v>188</v>
      </c>
    </row>
    <row r="190" spans="1:3">
      <c r="A190">
        <v>189</v>
      </c>
    </row>
    <row r="191" spans="1:3">
      <c r="A191">
        <v>190</v>
      </c>
      <c r="B191" t="s">
        <v>139</v>
      </c>
    </row>
    <row r="192" spans="1:3">
      <c r="A192">
        <v>191</v>
      </c>
      <c r="B192" t="s">
        <v>20</v>
      </c>
    </row>
    <row r="193" spans="1:3">
      <c r="A193">
        <v>192</v>
      </c>
    </row>
    <row r="194" spans="1:3">
      <c r="A194">
        <v>193</v>
      </c>
      <c r="B194" t="s">
        <v>140</v>
      </c>
      <c r="C194">
        <v>2038085888</v>
      </c>
    </row>
    <row r="195" spans="1:3">
      <c r="A195">
        <v>194</v>
      </c>
    </row>
    <row r="196" spans="1:3">
      <c r="A196">
        <v>195</v>
      </c>
      <c r="B196" t="s">
        <v>141</v>
      </c>
    </row>
    <row r="197" spans="1:3">
      <c r="A197">
        <v>196</v>
      </c>
    </row>
    <row r="198" spans="1:3">
      <c r="A198">
        <v>197</v>
      </c>
      <c r="B198" t="s">
        <v>142</v>
      </c>
      <c r="C198">
        <v>2034503366</v>
      </c>
    </row>
    <row r="199" spans="1:3">
      <c r="A199">
        <v>198</v>
      </c>
      <c r="B199" t="s">
        <v>143</v>
      </c>
    </row>
    <row r="200" spans="1:3">
      <c r="A200">
        <v>199</v>
      </c>
      <c r="B200" t="s">
        <v>144</v>
      </c>
      <c r="C200">
        <v>9148048287</v>
      </c>
    </row>
    <row r="201" spans="1:3">
      <c r="A201">
        <v>200</v>
      </c>
      <c r="B201" t="s">
        <v>145</v>
      </c>
      <c r="C201">
        <v>9144478366</v>
      </c>
    </row>
    <row r="202" spans="1:3">
      <c r="A202">
        <v>201</v>
      </c>
      <c r="B202" t="s">
        <v>146</v>
      </c>
      <c r="C202">
        <v>2036192141</v>
      </c>
    </row>
    <row r="203" spans="1:3">
      <c r="A203">
        <v>202</v>
      </c>
      <c r="B203" t="s">
        <v>115</v>
      </c>
    </row>
    <row r="204" spans="1:3">
      <c r="A204">
        <v>203</v>
      </c>
      <c r="B204" t="s">
        <v>147</v>
      </c>
      <c r="C204">
        <v>2038220554</v>
      </c>
    </row>
    <row r="205" spans="1:3">
      <c r="A205">
        <v>204</v>
      </c>
    </row>
    <row r="206" spans="1:3">
      <c r="A206">
        <v>205</v>
      </c>
      <c r="B206" t="s">
        <v>55</v>
      </c>
    </row>
    <row r="207" spans="1:3">
      <c r="A207">
        <v>206</v>
      </c>
    </row>
    <row r="208" spans="1:3">
      <c r="A208">
        <v>207</v>
      </c>
      <c r="B208" t="s">
        <v>108</v>
      </c>
    </row>
    <row r="209" spans="1:3">
      <c r="A209">
        <v>208</v>
      </c>
    </row>
    <row r="210" spans="1:3">
      <c r="A210">
        <v>209</v>
      </c>
      <c r="B210" t="s">
        <v>148</v>
      </c>
      <c r="C210">
        <v>9147558956</v>
      </c>
    </row>
    <row r="211" spans="1:3">
      <c r="A211">
        <v>210</v>
      </c>
      <c r="B211" t="s">
        <v>148</v>
      </c>
    </row>
    <row r="212" spans="1:3">
      <c r="A212">
        <v>211</v>
      </c>
      <c r="B212" t="s">
        <v>149</v>
      </c>
      <c r="C212">
        <v>2033606809</v>
      </c>
    </row>
    <row r="213" spans="1:3">
      <c r="A213">
        <v>212</v>
      </c>
    </row>
    <row r="214" spans="1:3">
      <c r="A214">
        <v>213</v>
      </c>
      <c r="B214" t="s">
        <v>150</v>
      </c>
      <c r="C214">
        <v>9144695805</v>
      </c>
    </row>
    <row r="215" spans="1:3">
      <c r="A215">
        <v>214</v>
      </c>
      <c r="B215" t="s">
        <v>151</v>
      </c>
      <c r="C215">
        <v>4752378538</v>
      </c>
    </row>
    <row r="216" spans="1:3">
      <c r="A216">
        <v>215</v>
      </c>
      <c r="B216" t="s">
        <v>113</v>
      </c>
      <c r="C216">
        <v>9144381725</v>
      </c>
    </row>
    <row r="217" spans="1:3">
      <c r="A217">
        <v>216</v>
      </c>
      <c r="B217" t="s">
        <v>152</v>
      </c>
      <c r="C217">
        <v>9142270568</v>
      </c>
    </row>
    <row r="218" spans="1:3">
      <c r="A218">
        <v>217</v>
      </c>
      <c r="B218" t="s">
        <v>153</v>
      </c>
    </row>
    <row r="219" spans="1:3">
      <c r="A219">
        <v>218</v>
      </c>
      <c r="B219" t="s">
        <v>154</v>
      </c>
      <c r="C219">
        <v>2035229574</v>
      </c>
    </row>
    <row r="220" spans="1:3">
      <c r="A220">
        <v>219</v>
      </c>
      <c r="B220" t="s">
        <v>154</v>
      </c>
    </row>
    <row r="221" spans="1:3">
      <c r="A221">
        <v>220</v>
      </c>
      <c r="B221" t="s">
        <v>148</v>
      </c>
    </row>
    <row r="222" spans="1:3">
      <c r="A222">
        <v>221</v>
      </c>
      <c r="B222" t="s">
        <v>65</v>
      </c>
      <c r="C222">
        <v>9143563105</v>
      </c>
    </row>
    <row r="223" spans="1:3">
      <c r="A223">
        <v>222</v>
      </c>
      <c r="B223" t="s">
        <v>155</v>
      </c>
    </row>
    <row r="224" spans="1:3">
      <c r="A224">
        <v>223</v>
      </c>
      <c r="B224" t="s">
        <v>156</v>
      </c>
      <c r="C224">
        <v>9142270568</v>
      </c>
    </row>
    <row r="225" spans="1:3">
      <c r="A225">
        <v>224</v>
      </c>
      <c r="B225" t="s">
        <v>102</v>
      </c>
    </row>
    <row r="226" spans="1:3">
      <c r="A226">
        <v>225</v>
      </c>
      <c r="B226" t="s">
        <v>157</v>
      </c>
      <c r="C226">
        <v>5515879636</v>
      </c>
    </row>
    <row r="227" spans="1:3">
      <c r="A227">
        <v>226</v>
      </c>
      <c r="B227" t="s">
        <v>23</v>
      </c>
    </row>
    <row r="228" spans="1:3">
      <c r="A228">
        <v>227</v>
      </c>
    </row>
    <row r="229" spans="1:3">
      <c r="A229">
        <v>228</v>
      </c>
      <c r="B229" t="s">
        <v>158</v>
      </c>
    </row>
    <row r="230" spans="1:3">
      <c r="A230">
        <v>229</v>
      </c>
    </row>
    <row r="231" spans="1:3">
      <c r="A231">
        <v>230</v>
      </c>
      <c r="B231" t="s">
        <v>159</v>
      </c>
      <c r="C231">
        <v>2039233002</v>
      </c>
    </row>
    <row r="232" spans="1:3">
      <c r="A232">
        <v>231</v>
      </c>
      <c r="B232" t="s">
        <v>131</v>
      </c>
    </row>
    <row r="233" spans="1:3">
      <c r="A233">
        <v>232</v>
      </c>
    </row>
    <row r="234" spans="1:3">
      <c r="A234">
        <v>233</v>
      </c>
      <c r="B234" t="s">
        <v>160</v>
      </c>
    </row>
    <row r="235" spans="1:3">
      <c r="A235">
        <v>234</v>
      </c>
      <c r="B235" t="s">
        <v>161</v>
      </c>
    </row>
    <row r="236" spans="1:3">
      <c r="A236">
        <v>235</v>
      </c>
      <c r="B236" t="s">
        <v>162</v>
      </c>
      <c r="C236">
        <v>9143560756</v>
      </c>
    </row>
    <row r="237" spans="1:3">
      <c r="A237">
        <v>236</v>
      </c>
    </row>
    <row r="238" spans="1:3">
      <c r="A238">
        <v>237</v>
      </c>
      <c r="B238" t="s">
        <v>163</v>
      </c>
      <c r="C238">
        <v>2034961500</v>
      </c>
    </row>
    <row r="239" spans="1:3">
      <c r="A239">
        <v>238</v>
      </c>
      <c r="B239" t="s">
        <v>164</v>
      </c>
    </row>
    <row r="240" spans="1:3">
      <c r="A240">
        <v>239</v>
      </c>
      <c r="B240" t="s">
        <v>165</v>
      </c>
    </row>
    <row r="241" spans="1:3">
      <c r="A241">
        <v>240</v>
      </c>
      <c r="B241" t="s">
        <v>166</v>
      </c>
    </row>
    <row r="242" spans="1:3">
      <c r="A242">
        <v>241</v>
      </c>
      <c r="B242" t="s">
        <v>167</v>
      </c>
    </row>
    <row r="243" spans="1:3">
      <c r="A243">
        <v>242</v>
      </c>
      <c r="B243" t="s">
        <v>45</v>
      </c>
    </row>
    <row r="244" spans="1:3">
      <c r="A244">
        <v>243</v>
      </c>
      <c r="B244" t="s">
        <v>168</v>
      </c>
    </row>
    <row r="245" spans="1:3">
      <c r="A245">
        <v>244</v>
      </c>
      <c r="B245" t="s">
        <v>169</v>
      </c>
      <c r="C245">
        <v>9145654765</v>
      </c>
    </row>
    <row r="246" spans="1:3">
      <c r="A246">
        <v>245</v>
      </c>
      <c r="B246" t="s">
        <v>170</v>
      </c>
    </row>
    <row r="247" spans="1:3">
      <c r="A247">
        <v>246</v>
      </c>
    </row>
    <row r="248" spans="1:3">
      <c r="A248">
        <v>247</v>
      </c>
      <c r="B248" t="s">
        <v>171</v>
      </c>
      <c r="C248">
        <v>2038361045</v>
      </c>
    </row>
    <row r="249" spans="1:3">
      <c r="A249">
        <v>248</v>
      </c>
    </row>
    <row r="250" spans="1:3">
      <c r="A250">
        <v>249</v>
      </c>
    </row>
    <row r="251" spans="1:3">
      <c r="A251">
        <v>250</v>
      </c>
      <c r="B251" t="s">
        <v>172</v>
      </c>
      <c r="C251">
        <v>4754590021</v>
      </c>
    </row>
    <row r="252" spans="1:3">
      <c r="A252">
        <v>251</v>
      </c>
      <c r="B252" t="s">
        <v>173</v>
      </c>
      <c r="C252">
        <v>4754494453</v>
      </c>
    </row>
    <row r="253" spans="1:3">
      <c r="A253">
        <v>252</v>
      </c>
    </row>
    <row r="254" spans="1:3">
      <c r="A254">
        <v>253</v>
      </c>
    </row>
    <row r="255" spans="1:3">
      <c r="A255">
        <v>254</v>
      </c>
      <c r="B255" t="s">
        <v>174</v>
      </c>
    </row>
    <row r="256" spans="1:3">
      <c r="A256">
        <v>255</v>
      </c>
      <c r="B256" t="s">
        <v>141</v>
      </c>
    </row>
    <row r="257" spans="1:3">
      <c r="A257">
        <v>256</v>
      </c>
      <c r="B257" t="s">
        <v>175</v>
      </c>
      <c r="C257">
        <v>2038078841</v>
      </c>
    </row>
    <row r="258" spans="1:3">
      <c r="A258">
        <v>257</v>
      </c>
      <c r="B258" t="s">
        <v>156</v>
      </c>
    </row>
    <row r="259" spans="1:3">
      <c r="A259">
        <v>258</v>
      </c>
    </row>
    <row r="260" spans="1:3">
      <c r="A260">
        <v>259</v>
      </c>
      <c r="B260" t="s">
        <v>176</v>
      </c>
    </row>
    <row r="261" spans="1:3">
      <c r="A261">
        <v>260</v>
      </c>
      <c r="B261" t="s">
        <v>177</v>
      </c>
    </row>
    <row r="262" spans="1:3">
      <c r="A262">
        <v>261</v>
      </c>
    </row>
    <row r="263" spans="1:3">
      <c r="A263">
        <v>262</v>
      </c>
    </row>
    <row r="264" spans="1:3">
      <c r="A264">
        <v>263</v>
      </c>
      <c r="B264" t="s">
        <v>178</v>
      </c>
      <c r="C264">
        <v>9144386604</v>
      </c>
    </row>
    <row r="265" spans="1:3">
      <c r="A265">
        <v>264</v>
      </c>
      <c r="B265" t="s">
        <v>179</v>
      </c>
    </row>
    <row r="266" spans="1:3">
      <c r="A266">
        <v>265</v>
      </c>
      <c r="B266" t="s">
        <v>136</v>
      </c>
    </row>
    <row r="267" spans="1:3">
      <c r="A267">
        <v>266</v>
      </c>
      <c r="B267" t="s">
        <v>180</v>
      </c>
      <c r="C267">
        <v>9146203904</v>
      </c>
    </row>
    <row r="268" spans="1:3">
      <c r="A268">
        <v>267</v>
      </c>
      <c r="B268" t="s">
        <v>181</v>
      </c>
    </row>
    <row r="269" spans="1:3">
      <c r="A269">
        <v>268</v>
      </c>
      <c r="B269" t="s">
        <v>182</v>
      </c>
      <c r="C269">
        <v>2038209096</v>
      </c>
    </row>
    <row r="270" spans="1:3">
      <c r="A270">
        <v>269</v>
      </c>
      <c r="B270" t="s">
        <v>159</v>
      </c>
      <c r="C270">
        <v>2039233002</v>
      </c>
    </row>
    <row r="271" spans="1:3">
      <c r="A271">
        <v>270</v>
      </c>
      <c r="B271" t="s">
        <v>170</v>
      </c>
    </row>
    <row r="272" spans="1:3">
      <c r="A272">
        <v>271</v>
      </c>
      <c r="B272" t="s">
        <v>183</v>
      </c>
    </row>
    <row r="273" spans="1:3">
      <c r="A273">
        <v>272</v>
      </c>
      <c r="B273" t="s">
        <v>107</v>
      </c>
    </row>
    <row r="274" spans="1:3">
      <c r="A274">
        <v>273</v>
      </c>
      <c r="B274" t="s">
        <v>184</v>
      </c>
      <c r="C274">
        <v>9735172499</v>
      </c>
    </row>
    <row r="275" spans="1:3">
      <c r="A275">
        <v>274</v>
      </c>
      <c r="B275" t="s">
        <v>185</v>
      </c>
    </row>
    <row r="276" spans="1:3">
      <c r="A276">
        <v>275</v>
      </c>
      <c r="B276" t="s">
        <v>186</v>
      </c>
    </row>
    <row r="277" spans="1:3">
      <c r="A277">
        <v>276</v>
      </c>
      <c r="B277" t="s">
        <v>187</v>
      </c>
    </row>
    <row r="278" spans="1:3">
      <c r="A278">
        <v>277</v>
      </c>
      <c r="B278" t="s">
        <v>188</v>
      </c>
      <c r="C278">
        <v>9144695805</v>
      </c>
    </row>
    <row r="279" spans="1:3">
      <c r="A279">
        <v>278</v>
      </c>
    </row>
    <row r="280" spans="1:3">
      <c r="A280">
        <v>279</v>
      </c>
      <c r="B280" t="s">
        <v>189</v>
      </c>
    </row>
    <row r="281" spans="1:3">
      <c r="A281">
        <v>280</v>
      </c>
      <c r="B281" t="s">
        <v>190</v>
      </c>
      <c r="C281">
        <v>9148446172</v>
      </c>
    </row>
    <row r="282" spans="1:3">
      <c r="A282">
        <v>281</v>
      </c>
      <c r="B282" t="s">
        <v>191</v>
      </c>
    </row>
    <row r="283" spans="1:3">
      <c r="A283">
        <v>282</v>
      </c>
      <c r="B283" t="s">
        <v>78</v>
      </c>
      <c r="C283">
        <v>9143918505</v>
      </c>
    </row>
    <row r="284" spans="1:3">
      <c r="A284">
        <v>283</v>
      </c>
      <c r="B284" t="s">
        <v>100</v>
      </c>
    </row>
    <row r="285" spans="1:3">
      <c r="A285">
        <v>284</v>
      </c>
    </row>
    <row r="286" spans="1:3">
      <c r="A286">
        <v>285</v>
      </c>
      <c r="B286" t="s">
        <v>154</v>
      </c>
    </row>
    <row r="287" spans="1:3">
      <c r="A287">
        <v>286</v>
      </c>
    </row>
    <row r="288" spans="1:3">
      <c r="A288">
        <v>287</v>
      </c>
      <c r="B288" t="s">
        <v>192</v>
      </c>
    </row>
    <row r="289" spans="1:3">
      <c r="A289">
        <v>288</v>
      </c>
    </row>
    <row r="290" spans="1:3">
      <c r="A290">
        <v>289</v>
      </c>
    </row>
    <row r="291" spans="1:3">
      <c r="A291">
        <v>290</v>
      </c>
    </row>
    <row r="292" spans="1:3">
      <c r="A292">
        <v>291</v>
      </c>
    </row>
    <row r="293" spans="1:3">
      <c r="A293">
        <v>292</v>
      </c>
    </row>
    <row r="294" spans="1:3">
      <c r="A294">
        <v>293</v>
      </c>
      <c r="B294" t="s">
        <v>193</v>
      </c>
    </row>
    <row r="295" spans="1:3">
      <c r="A295">
        <v>294</v>
      </c>
    </row>
    <row r="296" spans="1:3">
      <c r="A296">
        <v>295</v>
      </c>
      <c r="B296" t="s">
        <v>194</v>
      </c>
    </row>
    <row r="297" spans="1:3">
      <c r="A297">
        <v>296</v>
      </c>
      <c r="B297" t="s">
        <v>195</v>
      </c>
      <c r="C297">
        <v>9145620301</v>
      </c>
    </row>
    <row r="298" spans="1:3">
      <c r="A298">
        <v>297</v>
      </c>
      <c r="B298" t="s">
        <v>124</v>
      </c>
      <c r="C298">
        <v>9144269391</v>
      </c>
    </row>
    <row r="299" spans="1:3">
      <c r="A299">
        <v>298</v>
      </c>
      <c r="B299" t="s">
        <v>196</v>
      </c>
    </row>
    <row r="300" spans="1:3">
      <c r="A300">
        <v>299</v>
      </c>
      <c r="B300" t="s">
        <v>197</v>
      </c>
      <c r="C300">
        <v>2035229488</v>
      </c>
    </row>
    <row r="301" spans="1:3">
      <c r="A301">
        <v>300</v>
      </c>
      <c r="B301" t="s">
        <v>198</v>
      </c>
    </row>
    <row r="302" spans="1:3">
      <c r="A302">
        <v>301</v>
      </c>
    </row>
    <row r="303" spans="1:3">
      <c r="A303">
        <v>302</v>
      </c>
    </row>
    <row r="304" spans="1:3">
      <c r="A304">
        <v>303</v>
      </c>
      <c r="B304" t="s">
        <v>199</v>
      </c>
    </row>
    <row r="305" spans="1:3">
      <c r="A305">
        <v>304</v>
      </c>
      <c r="B305" t="s">
        <v>200</v>
      </c>
      <c r="C305">
        <v>2039123543</v>
      </c>
    </row>
    <row r="306" spans="1:3">
      <c r="A306">
        <v>305</v>
      </c>
    </row>
    <row r="307" spans="1:3">
      <c r="A307">
        <v>306</v>
      </c>
    </row>
    <row r="308" spans="1:3">
      <c r="A308">
        <v>307</v>
      </c>
      <c r="B308" t="s">
        <v>156</v>
      </c>
    </row>
    <row r="309" spans="1:3">
      <c r="A309">
        <v>308</v>
      </c>
    </row>
    <row r="310" spans="1:3">
      <c r="A310">
        <v>309</v>
      </c>
      <c r="B310" t="s">
        <v>201</v>
      </c>
    </row>
    <row r="311" spans="1:3">
      <c r="A311">
        <v>310</v>
      </c>
    </row>
    <row r="312" spans="1:3">
      <c r="A312">
        <v>311</v>
      </c>
      <c r="B312" t="s">
        <v>202</v>
      </c>
    </row>
    <row r="313" spans="1:3">
      <c r="A313">
        <v>312</v>
      </c>
    </row>
    <row r="314" spans="1:3">
      <c r="A314">
        <v>313</v>
      </c>
      <c r="B314" t="s">
        <v>203</v>
      </c>
    </row>
    <row r="315" spans="1:3">
      <c r="A315">
        <v>314</v>
      </c>
    </row>
    <row r="316" spans="1:3">
      <c r="A316">
        <v>315</v>
      </c>
    </row>
    <row r="317" spans="1:3">
      <c r="A317">
        <v>316</v>
      </c>
      <c r="B317" t="s">
        <v>204</v>
      </c>
      <c r="C317">
        <v>2035221446</v>
      </c>
    </row>
    <row r="318" spans="1:3">
      <c r="A318">
        <v>317</v>
      </c>
      <c r="B318" t="s">
        <v>205</v>
      </c>
      <c r="C318">
        <v>9145653559</v>
      </c>
    </row>
    <row r="319" spans="1:3">
      <c r="A319">
        <v>318</v>
      </c>
      <c r="B319" t="s">
        <v>206</v>
      </c>
    </row>
    <row r="320" spans="1:3">
      <c r="A320">
        <v>319</v>
      </c>
    </row>
    <row r="321" spans="1:3">
      <c r="A321">
        <v>320</v>
      </c>
    </row>
    <row r="322" spans="1:3">
      <c r="A322">
        <v>321</v>
      </c>
      <c r="B322" t="s">
        <v>207</v>
      </c>
      <c r="C322">
        <v>9145656406</v>
      </c>
    </row>
    <row r="323" spans="1:3">
      <c r="A323">
        <v>322</v>
      </c>
    </row>
    <row r="324" spans="1:3">
      <c r="A324">
        <v>323</v>
      </c>
      <c r="B324" t="s">
        <v>78</v>
      </c>
    </row>
    <row r="325" spans="1:3">
      <c r="A325">
        <v>324</v>
      </c>
    </row>
    <row r="326" spans="1:3">
      <c r="A326">
        <v>325</v>
      </c>
      <c r="B326" t="s">
        <v>208</v>
      </c>
    </row>
    <row r="327" spans="1:3">
      <c r="A327">
        <v>326</v>
      </c>
    </row>
    <row r="328" spans="1:3">
      <c r="A328">
        <v>327</v>
      </c>
      <c r="B328" t="s">
        <v>209</v>
      </c>
      <c r="C328">
        <v>5042666286</v>
      </c>
    </row>
    <row r="329" spans="1:3">
      <c r="A329">
        <v>328</v>
      </c>
      <c r="B329" t="s">
        <v>210</v>
      </c>
    </row>
    <row r="330" spans="1:3">
      <c r="A330">
        <v>329</v>
      </c>
      <c r="B330" t="s">
        <v>211</v>
      </c>
      <c r="C330">
        <v>9143190338</v>
      </c>
    </row>
    <row r="331" spans="1:3">
      <c r="A331">
        <v>330</v>
      </c>
      <c r="B331" t="s">
        <v>212</v>
      </c>
      <c r="C331">
        <v>2035456583</v>
      </c>
    </row>
    <row r="332" spans="1:3">
      <c r="A332">
        <v>331</v>
      </c>
    </row>
    <row r="333" spans="1:3">
      <c r="A333">
        <v>332</v>
      </c>
      <c r="B333" t="s">
        <v>213</v>
      </c>
      <c r="C333">
        <v>2039812008</v>
      </c>
    </row>
    <row r="334" spans="1:3">
      <c r="A334">
        <v>333</v>
      </c>
      <c r="B334" t="s">
        <v>214</v>
      </c>
      <c r="C334">
        <v>2035450805</v>
      </c>
    </row>
    <row r="335" spans="1:3">
      <c r="A335">
        <v>334</v>
      </c>
      <c r="B335" t="s">
        <v>215</v>
      </c>
    </row>
    <row r="336" spans="1:3">
      <c r="A336">
        <v>335</v>
      </c>
    </row>
    <row r="337" spans="1:3">
      <c r="A337">
        <v>336</v>
      </c>
    </row>
    <row r="338" spans="1:3">
      <c r="A338">
        <v>337</v>
      </c>
    </row>
    <row r="339" spans="1:3">
      <c r="A339">
        <v>338</v>
      </c>
      <c r="B339" t="s">
        <v>180</v>
      </c>
    </row>
    <row r="340" spans="1:3">
      <c r="A340">
        <v>339</v>
      </c>
      <c r="B340" t="s">
        <v>216</v>
      </c>
    </row>
    <row r="341" spans="1:3">
      <c r="A341">
        <v>340</v>
      </c>
    </row>
    <row r="342" spans="1:3">
      <c r="A342">
        <v>341</v>
      </c>
    </row>
    <row r="343" spans="1:3">
      <c r="A343">
        <v>342</v>
      </c>
      <c r="B343" t="s">
        <v>217</v>
      </c>
      <c r="C343">
        <v>9144904255</v>
      </c>
    </row>
    <row r="344" spans="1:3">
      <c r="A344">
        <v>343</v>
      </c>
    </row>
    <row r="345" spans="1:3">
      <c r="A345">
        <v>344</v>
      </c>
    </row>
    <row r="346" spans="1:3">
      <c r="A346">
        <v>345</v>
      </c>
      <c r="B346" t="s">
        <v>218</v>
      </c>
      <c r="C346">
        <v>4752390719</v>
      </c>
    </row>
    <row r="347" spans="1:3">
      <c r="A347">
        <v>346</v>
      </c>
      <c r="B347" t="s">
        <v>162</v>
      </c>
    </row>
    <row r="348" spans="1:3">
      <c r="A348">
        <v>347</v>
      </c>
      <c r="B348" t="s">
        <v>219</v>
      </c>
    </row>
    <row r="349" spans="1:3">
      <c r="A349">
        <v>348</v>
      </c>
      <c r="B349" t="s">
        <v>220</v>
      </c>
      <c r="C349">
        <v>9143544961</v>
      </c>
    </row>
    <row r="350" spans="1:3">
      <c r="A350">
        <v>349</v>
      </c>
      <c r="B350" t="s">
        <v>221</v>
      </c>
      <c r="C350">
        <v>9144904255</v>
      </c>
    </row>
    <row r="351" spans="1:3">
      <c r="A351">
        <v>350</v>
      </c>
      <c r="B351" t="s">
        <v>222</v>
      </c>
    </row>
    <row r="352" spans="1:3">
      <c r="A352">
        <v>351</v>
      </c>
      <c r="B352" t="s">
        <v>223</v>
      </c>
      <c r="C352">
        <v>9148799779</v>
      </c>
    </row>
    <row r="353" spans="1:3">
      <c r="A353">
        <v>352</v>
      </c>
    </row>
    <row r="354" spans="1:3">
      <c r="A354">
        <v>353</v>
      </c>
    </row>
    <row r="355" spans="1:3">
      <c r="A355">
        <v>354</v>
      </c>
      <c r="B355" t="s">
        <v>224</v>
      </c>
    </row>
    <row r="356" spans="1:3">
      <c r="A356">
        <v>355</v>
      </c>
      <c r="B356" t="s">
        <v>225</v>
      </c>
    </row>
    <row r="357" spans="1:3">
      <c r="A357">
        <v>356</v>
      </c>
      <c r="B357" t="s">
        <v>226</v>
      </c>
      <c r="C357">
        <v>9143563105</v>
      </c>
    </row>
    <row r="358" spans="1:3">
      <c r="A358">
        <v>357</v>
      </c>
      <c r="B358" t="s">
        <v>227</v>
      </c>
      <c r="C358">
        <v>9542976570</v>
      </c>
    </row>
    <row r="359" spans="1:3">
      <c r="A359">
        <v>358</v>
      </c>
    </row>
    <row r="360" spans="1:3">
      <c r="A360">
        <v>359</v>
      </c>
    </row>
    <row r="361" spans="1:3">
      <c r="A361">
        <v>360</v>
      </c>
      <c r="B361" t="s">
        <v>228</v>
      </c>
    </row>
    <row r="362" spans="1:3">
      <c r="A362">
        <v>361</v>
      </c>
      <c r="B362" t="s">
        <v>200</v>
      </c>
    </row>
    <row r="363" spans="1:3">
      <c r="A363">
        <v>362</v>
      </c>
    </row>
    <row r="364" spans="1:3">
      <c r="A364">
        <v>363</v>
      </c>
      <c r="B364" t="s">
        <v>100</v>
      </c>
      <c r="C364">
        <v>9145650041</v>
      </c>
    </row>
    <row r="365" spans="1:3">
      <c r="A365">
        <v>364</v>
      </c>
      <c r="B365" t="s">
        <v>229</v>
      </c>
      <c r="C365">
        <v>9143563105</v>
      </c>
    </row>
    <row r="366" spans="1:3">
      <c r="A366">
        <v>365</v>
      </c>
      <c r="B366" t="s">
        <v>230</v>
      </c>
      <c r="C366">
        <v>2035406751</v>
      </c>
    </row>
    <row r="367" spans="1:3">
      <c r="A367">
        <v>366</v>
      </c>
    </row>
    <row r="368" spans="1:3">
      <c r="A368">
        <v>367</v>
      </c>
      <c r="B368" t="s">
        <v>109</v>
      </c>
    </row>
    <row r="369" spans="1:3">
      <c r="A369">
        <v>368</v>
      </c>
    </row>
    <row r="370" spans="1:3">
      <c r="A370">
        <v>369</v>
      </c>
      <c r="B370" t="s">
        <v>231</v>
      </c>
    </row>
    <row r="371" spans="1:3">
      <c r="A371">
        <v>370</v>
      </c>
      <c r="B371" t="s">
        <v>232</v>
      </c>
      <c r="C371">
        <v>9148043987</v>
      </c>
    </row>
    <row r="372" spans="1:3">
      <c r="A372">
        <v>371</v>
      </c>
    </row>
    <row r="373" spans="1:3">
      <c r="A373">
        <v>372</v>
      </c>
      <c r="B373" t="s">
        <v>203</v>
      </c>
    </row>
    <row r="374" spans="1:3">
      <c r="A374">
        <v>373</v>
      </c>
    </row>
    <row r="375" spans="1:3">
      <c r="A375">
        <v>374</v>
      </c>
    </row>
    <row r="376" spans="1:3">
      <c r="A376">
        <v>375</v>
      </c>
    </row>
    <row r="377" spans="1:3">
      <c r="A377">
        <v>376</v>
      </c>
    </row>
    <row r="378" spans="1:3">
      <c r="A378">
        <v>377</v>
      </c>
      <c r="B378" t="s">
        <v>112</v>
      </c>
    </row>
    <row r="379" spans="1:3">
      <c r="A379">
        <v>378</v>
      </c>
    </row>
    <row r="380" spans="1:3">
      <c r="A380">
        <v>379</v>
      </c>
      <c r="B380" t="s">
        <v>233</v>
      </c>
    </row>
    <row r="381" spans="1:3">
      <c r="A381">
        <v>380</v>
      </c>
      <c r="B381" t="s">
        <v>234</v>
      </c>
    </row>
    <row r="382" spans="1:3">
      <c r="A382">
        <v>381</v>
      </c>
    </row>
    <row r="383" spans="1:3">
      <c r="A383">
        <v>382</v>
      </c>
      <c r="B383" t="s">
        <v>235</v>
      </c>
      <c r="C383">
        <v>9144690686</v>
      </c>
    </row>
    <row r="384" spans="1:3">
      <c r="A384">
        <v>383</v>
      </c>
      <c r="B384" t="s">
        <v>236</v>
      </c>
      <c r="C384">
        <v>5162442819</v>
      </c>
    </row>
    <row r="385" spans="1:3">
      <c r="A385">
        <v>384</v>
      </c>
      <c r="B385" t="s">
        <v>237</v>
      </c>
      <c r="C385">
        <v>9144909467</v>
      </c>
    </row>
    <row r="386" spans="1:3">
      <c r="A386">
        <v>385</v>
      </c>
      <c r="B386" t="s">
        <v>238</v>
      </c>
    </row>
    <row r="387" spans="1:3">
      <c r="A387">
        <v>386</v>
      </c>
      <c r="B387" t="s">
        <v>239</v>
      </c>
    </row>
    <row r="388" spans="1:3">
      <c r="A388">
        <v>387</v>
      </c>
      <c r="B388" t="s">
        <v>240</v>
      </c>
    </row>
    <row r="389" spans="1:3">
      <c r="A389">
        <v>388</v>
      </c>
      <c r="B389" t="s">
        <v>241</v>
      </c>
      <c r="C389">
        <v>4752065818</v>
      </c>
    </row>
    <row r="390" spans="1:3">
      <c r="A390">
        <v>389</v>
      </c>
    </row>
    <row r="391" spans="1:3">
      <c r="A391">
        <v>390</v>
      </c>
      <c r="B391" t="s">
        <v>242</v>
      </c>
      <c r="C391">
        <v>4752337695</v>
      </c>
    </row>
    <row r="392" spans="1:3">
      <c r="A392">
        <v>391</v>
      </c>
      <c r="B392" t="s">
        <v>188</v>
      </c>
      <c r="C392">
        <v>9144695805</v>
      </c>
    </row>
    <row r="393" spans="1:3">
      <c r="A393">
        <v>392</v>
      </c>
    </row>
    <row r="394" spans="1:3">
      <c r="A394">
        <v>393</v>
      </c>
    </row>
    <row r="395" spans="1:3">
      <c r="A395">
        <v>394</v>
      </c>
      <c r="B395" t="s">
        <v>235</v>
      </c>
    </row>
    <row r="396" spans="1:3">
      <c r="A396">
        <v>395</v>
      </c>
      <c r="B396" t="s">
        <v>243</v>
      </c>
      <c r="C396">
        <v>2035268465</v>
      </c>
    </row>
    <row r="397" spans="1:3">
      <c r="A397">
        <v>396</v>
      </c>
      <c r="B397" t="s">
        <v>195</v>
      </c>
    </row>
    <row r="398" spans="1:3">
      <c r="A398">
        <v>397</v>
      </c>
      <c r="B398" t="s">
        <v>74</v>
      </c>
    </row>
    <row r="399" spans="1:3">
      <c r="A399">
        <v>398</v>
      </c>
    </row>
    <row r="400" spans="1:3">
      <c r="A400">
        <v>399</v>
      </c>
      <c r="B400" t="s">
        <v>244</v>
      </c>
      <c r="C400">
        <v>2035127679</v>
      </c>
    </row>
    <row r="401" spans="1:3">
      <c r="A401">
        <v>400</v>
      </c>
      <c r="B401" t="s">
        <v>156</v>
      </c>
    </row>
    <row r="402" spans="1:3">
      <c r="A402">
        <v>401</v>
      </c>
      <c r="B402" t="s">
        <v>245</v>
      </c>
      <c r="C402">
        <v>2036838414</v>
      </c>
    </row>
    <row r="403" spans="1:3">
      <c r="A403">
        <v>402</v>
      </c>
    </row>
    <row r="404" spans="1:3">
      <c r="A404">
        <v>403</v>
      </c>
      <c r="B404" t="s">
        <v>246</v>
      </c>
    </row>
    <row r="405" spans="1:3">
      <c r="A405">
        <v>404</v>
      </c>
    </row>
    <row r="406" spans="1:3">
      <c r="A406">
        <v>405</v>
      </c>
      <c r="B406" t="s">
        <v>241</v>
      </c>
    </row>
    <row r="407" spans="1:3">
      <c r="A407">
        <v>406</v>
      </c>
      <c r="B407" t="s">
        <v>176</v>
      </c>
    </row>
    <row r="408" spans="1:3">
      <c r="A408">
        <v>407</v>
      </c>
      <c r="B408" t="s">
        <v>247</v>
      </c>
      <c r="C408">
        <v>8453066909</v>
      </c>
    </row>
    <row r="409" spans="1:3">
      <c r="A409">
        <v>408</v>
      </c>
    </row>
    <row r="410" spans="1:3">
      <c r="A410">
        <v>409</v>
      </c>
    </row>
    <row r="411" spans="1:3">
      <c r="A411">
        <v>410</v>
      </c>
      <c r="B411" t="s">
        <v>248</v>
      </c>
      <c r="C411">
        <v>5515879636</v>
      </c>
    </row>
    <row r="412" spans="1:3">
      <c r="A412">
        <v>411</v>
      </c>
      <c r="B412" t="s">
        <v>240</v>
      </c>
    </row>
    <row r="413" spans="1:3">
      <c r="A413">
        <v>412</v>
      </c>
    </row>
    <row r="414" spans="1:3">
      <c r="A414">
        <v>413</v>
      </c>
      <c r="B414" t="s">
        <v>249</v>
      </c>
      <c r="C414">
        <v>2036908251</v>
      </c>
    </row>
    <row r="415" spans="1:3">
      <c r="A415">
        <v>414</v>
      </c>
      <c r="B415" t="s">
        <v>250</v>
      </c>
      <c r="C415">
        <v>2036825960</v>
      </c>
    </row>
    <row r="416" spans="1:3">
      <c r="A416">
        <v>415</v>
      </c>
    </row>
    <row r="417" spans="1:3">
      <c r="A417">
        <v>416</v>
      </c>
      <c r="B417" t="s">
        <v>211</v>
      </c>
    </row>
    <row r="418" spans="1:3">
      <c r="A418">
        <v>417</v>
      </c>
      <c r="B418" t="s">
        <v>251</v>
      </c>
    </row>
    <row r="419" spans="1:3">
      <c r="A419">
        <v>418</v>
      </c>
    </row>
    <row r="420" spans="1:3">
      <c r="A420">
        <v>419</v>
      </c>
    </row>
    <row r="421" spans="1:3">
      <c r="A421">
        <v>420</v>
      </c>
      <c r="B421" t="s">
        <v>135</v>
      </c>
    </row>
    <row r="422" spans="1:3">
      <c r="A422">
        <v>421</v>
      </c>
      <c r="B422" t="s">
        <v>101</v>
      </c>
      <c r="C422">
        <v>4752368737</v>
      </c>
    </row>
    <row r="423" spans="1:3">
      <c r="A423">
        <v>422</v>
      </c>
      <c r="B423" t="s">
        <v>252</v>
      </c>
      <c r="C423">
        <v>9145654492</v>
      </c>
    </row>
    <row r="424" spans="1:3">
      <c r="A424">
        <v>423</v>
      </c>
      <c r="B424" t="s">
        <v>253</v>
      </c>
    </row>
    <row r="425" spans="1:3">
      <c r="A425">
        <v>424</v>
      </c>
    </row>
    <row r="426" spans="1:3">
      <c r="A426">
        <v>425</v>
      </c>
      <c r="B426" t="s">
        <v>254</v>
      </c>
      <c r="C426">
        <v>9144061023</v>
      </c>
    </row>
    <row r="427" spans="1:3">
      <c r="A427">
        <v>426</v>
      </c>
      <c r="B427" t="s">
        <v>255</v>
      </c>
      <c r="C427">
        <v>2038982085</v>
      </c>
    </row>
    <row r="428" spans="1:3">
      <c r="A428">
        <v>427</v>
      </c>
    </row>
    <row r="429" spans="1:3">
      <c r="A429">
        <v>428</v>
      </c>
      <c r="B429" t="s">
        <v>256</v>
      </c>
    </row>
    <row r="430" spans="1:3">
      <c r="A430">
        <v>429</v>
      </c>
      <c r="B430" t="s">
        <v>257</v>
      </c>
    </row>
    <row r="431" spans="1:3">
      <c r="A431">
        <v>430</v>
      </c>
      <c r="B431" t="s">
        <v>258</v>
      </c>
    </row>
    <row r="432" spans="1:3">
      <c r="A432">
        <v>431</v>
      </c>
    </row>
    <row r="433" spans="1:3">
      <c r="A433">
        <v>432</v>
      </c>
      <c r="B433" t="s">
        <v>259</v>
      </c>
      <c r="C433">
        <v>9145226788</v>
      </c>
    </row>
    <row r="434" spans="1:3">
      <c r="A434">
        <v>433</v>
      </c>
    </row>
    <row r="435" spans="1:3">
      <c r="A435">
        <v>434</v>
      </c>
      <c r="B435" t="s">
        <v>260</v>
      </c>
      <c r="C435">
        <v>2036908251</v>
      </c>
    </row>
    <row r="436" spans="1:3">
      <c r="A436">
        <v>435</v>
      </c>
    </row>
    <row r="437" spans="1:3">
      <c r="A437">
        <v>436</v>
      </c>
    </row>
    <row r="438" spans="1:3">
      <c r="A438">
        <v>437</v>
      </c>
    </row>
    <row r="439" spans="1:3">
      <c r="A439">
        <v>438</v>
      </c>
    </row>
    <row r="440" spans="1:3">
      <c r="A440">
        <v>439</v>
      </c>
      <c r="B440" t="s">
        <v>255</v>
      </c>
    </row>
    <row r="441" spans="1:3">
      <c r="A441">
        <v>440</v>
      </c>
    </row>
    <row r="442" spans="1:3">
      <c r="A442">
        <v>441</v>
      </c>
    </row>
    <row r="443" spans="1:3">
      <c r="A443">
        <v>442</v>
      </c>
      <c r="B443" t="s">
        <v>261</v>
      </c>
    </row>
    <row r="444" spans="1:3">
      <c r="A444">
        <v>443</v>
      </c>
    </row>
    <row r="445" spans="1:3">
      <c r="A445">
        <v>444</v>
      </c>
      <c r="B445" t="s">
        <v>262</v>
      </c>
    </row>
    <row r="446" spans="1:3">
      <c r="A446">
        <v>445</v>
      </c>
    </row>
    <row r="447" spans="1:3">
      <c r="A447">
        <v>446</v>
      </c>
    </row>
    <row r="448" spans="1:3">
      <c r="A448">
        <v>447</v>
      </c>
    </row>
    <row r="449" spans="1:3">
      <c r="A449">
        <v>448</v>
      </c>
      <c r="B449" t="s">
        <v>263</v>
      </c>
      <c r="C449">
        <v>2036908251</v>
      </c>
    </row>
    <row r="450" spans="1:3">
      <c r="A450">
        <v>449</v>
      </c>
    </row>
    <row r="451" spans="1:3">
      <c r="A451">
        <v>450</v>
      </c>
      <c r="B451" t="s">
        <v>264</v>
      </c>
      <c r="C451">
        <v>2036105893</v>
      </c>
    </row>
    <row r="452" spans="1:3">
      <c r="A452">
        <v>451</v>
      </c>
    </row>
    <row r="453" spans="1:3">
      <c r="A453">
        <v>452</v>
      </c>
    </row>
    <row r="454" spans="1:3">
      <c r="A454">
        <v>453</v>
      </c>
    </row>
    <row r="455" spans="1:3">
      <c r="A455">
        <v>454</v>
      </c>
    </row>
    <row r="456" spans="1:3">
      <c r="A456">
        <v>455</v>
      </c>
    </row>
    <row r="457" spans="1:3">
      <c r="A457">
        <v>456</v>
      </c>
      <c r="B457" t="s">
        <v>265</v>
      </c>
      <c r="C457">
        <v>9148799779</v>
      </c>
    </row>
    <row r="458" spans="1:3">
      <c r="A458">
        <v>457</v>
      </c>
      <c r="B458" t="s">
        <v>266</v>
      </c>
    </row>
    <row r="459" spans="1:3">
      <c r="A459">
        <v>458</v>
      </c>
    </row>
    <row r="460" spans="1:3">
      <c r="A460">
        <v>459</v>
      </c>
      <c r="B460" t="s">
        <v>267</v>
      </c>
      <c r="C460">
        <v>9148446172</v>
      </c>
    </row>
    <row r="461" spans="1:3">
      <c r="A461">
        <v>460</v>
      </c>
    </row>
    <row r="462" spans="1:3">
      <c r="A462">
        <v>461</v>
      </c>
      <c r="B462" t="s">
        <v>268</v>
      </c>
    </row>
    <row r="463" spans="1:3">
      <c r="A463">
        <v>462</v>
      </c>
      <c r="B463" t="s">
        <v>269</v>
      </c>
    </row>
    <row r="464" spans="1:3">
      <c r="A464">
        <v>463</v>
      </c>
    </row>
    <row r="465" spans="1:3">
      <c r="A465">
        <v>464</v>
      </c>
    </row>
    <row r="466" spans="1:3">
      <c r="A466">
        <v>465</v>
      </c>
    </row>
    <row r="467" spans="1:3">
      <c r="A467">
        <v>466</v>
      </c>
      <c r="B467" t="s">
        <v>270</v>
      </c>
      <c r="C467">
        <v>2032401199</v>
      </c>
    </row>
    <row r="468" spans="1:3">
      <c r="A468">
        <v>467</v>
      </c>
      <c r="B468" t="s">
        <v>271</v>
      </c>
      <c r="C468">
        <v>9147740936</v>
      </c>
    </row>
    <row r="469" spans="1:3">
      <c r="A469">
        <v>468</v>
      </c>
    </row>
    <row r="470" spans="1:3">
      <c r="A470">
        <v>469</v>
      </c>
    </row>
    <row r="471" spans="1:3">
      <c r="A471">
        <v>470</v>
      </c>
      <c r="B471" t="s">
        <v>40</v>
      </c>
      <c r="C471">
        <v>2032122279</v>
      </c>
    </row>
    <row r="472" spans="1:3">
      <c r="A472">
        <v>471</v>
      </c>
    </row>
    <row r="473" spans="1:3">
      <c r="A473">
        <v>472</v>
      </c>
    </row>
    <row r="474" spans="1:3">
      <c r="A474">
        <v>473</v>
      </c>
    </row>
    <row r="475" spans="1:3">
      <c r="A475">
        <v>474</v>
      </c>
    </row>
    <row r="476" spans="1:3">
      <c r="A476">
        <v>475</v>
      </c>
      <c r="B476" t="s">
        <v>272</v>
      </c>
      <c r="C476">
        <v>2032283876</v>
      </c>
    </row>
    <row r="477" spans="1:3">
      <c r="A477">
        <v>476</v>
      </c>
    </row>
    <row r="478" spans="1:3">
      <c r="A478">
        <v>477</v>
      </c>
      <c r="B478" t="s">
        <v>214</v>
      </c>
      <c r="C478">
        <v>2035450805</v>
      </c>
    </row>
    <row r="479" spans="1:3">
      <c r="A479">
        <v>478</v>
      </c>
      <c r="B479" t="s">
        <v>40</v>
      </c>
    </row>
    <row r="480" spans="1:3">
      <c r="A480">
        <v>479</v>
      </c>
    </row>
    <row r="481" spans="1:3">
      <c r="A481">
        <v>480</v>
      </c>
      <c r="B481" t="s">
        <v>232</v>
      </c>
    </row>
    <row r="482" spans="1:3">
      <c r="A482">
        <v>481</v>
      </c>
    </row>
    <row r="483" spans="1:3">
      <c r="A483">
        <v>482</v>
      </c>
    </row>
    <row r="484" spans="1:3">
      <c r="A484">
        <v>483</v>
      </c>
      <c r="B484" t="s">
        <v>273</v>
      </c>
      <c r="C484">
        <v>2033216644</v>
      </c>
    </row>
    <row r="485" spans="1:3">
      <c r="A485">
        <v>484</v>
      </c>
    </row>
    <row r="486" spans="1:3">
      <c r="A486">
        <v>485</v>
      </c>
      <c r="B486" t="s">
        <v>274</v>
      </c>
      <c r="C486">
        <v>2035221446</v>
      </c>
    </row>
    <row r="487" spans="1:3">
      <c r="A487">
        <v>486</v>
      </c>
      <c r="B487" t="s">
        <v>275</v>
      </c>
    </row>
    <row r="488" spans="1:3">
      <c r="A488">
        <v>487</v>
      </c>
      <c r="B488" t="s">
        <v>276</v>
      </c>
    </row>
    <row r="489" spans="1:3">
      <c r="A489">
        <v>488</v>
      </c>
      <c r="B489" t="s">
        <v>277</v>
      </c>
    </row>
    <row r="490" spans="1:3">
      <c r="A490">
        <v>489</v>
      </c>
    </row>
    <row r="491" spans="1:3">
      <c r="A491">
        <v>490</v>
      </c>
      <c r="B491" t="s">
        <v>118</v>
      </c>
      <c r="C491">
        <v>9143569767</v>
      </c>
    </row>
    <row r="492" spans="1:3">
      <c r="A492">
        <v>491</v>
      </c>
      <c r="B492" t="s">
        <v>124</v>
      </c>
      <c r="C492">
        <v>9144269391</v>
      </c>
    </row>
    <row r="493" spans="1:3">
      <c r="A493">
        <v>492</v>
      </c>
    </row>
    <row r="494" spans="1:3">
      <c r="A494">
        <v>493</v>
      </c>
      <c r="B494" t="s">
        <v>278</v>
      </c>
    </row>
    <row r="495" spans="1:3">
      <c r="A495">
        <v>494</v>
      </c>
    </row>
    <row r="496" spans="1:3">
      <c r="A496">
        <v>495</v>
      </c>
      <c r="B496" t="s">
        <v>140</v>
      </c>
    </row>
    <row r="497" spans="1:2">
      <c r="A497">
        <v>496</v>
      </c>
    </row>
    <row r="498" spans="1:2">
      <c r="A498">
        <v>497</v>
      </c>
      <c r="B498" t="s">
        <v>262</v>
      </c>
    </row>
    <row r="499" spans="1:2">
      <c r="A499">
        <v>498</v>
      </c>
    </row>
    <row r="500" spans="1:2">
      <c r="A500">
        <v>499</v>
      </c>
      <c r="B500" t="s">
        <v>144</v>
      </c>
    </row>
    <row r="501" spans="1:2">
      <c r="A501">
        <v>500</v>
      </c>
      <c r="B501" t="s">
        <v>20</v>
      </c>
    </row>
    <row r="551" spans="1:1">
      <c r="A551" t="s">
        <v>279</v>
      </c>
    </row>
  </sheetData>
  <autoFilter ref="A1:D50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Original</vt:lpstr>
      <vt:lpstr>base</vt:lpstr>
      <vt:lpstr>base (3)</vt:lpstr>
      <vt:lpstr>Original (2)</vt:lpstr>
      <vt:lpstr>base (2)</vt:lpstr>
      <vt:lpstr>Planilha1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sanchez</dc:creator>
  <cp:lastModifiedBy>ivan diego sanchez</cp:lastModifiedBy>
  <cp:lastPrinted>2026-05-27T14:32:07Z</cp:lastPrinted>
  <dcterms:created xsi:type="dcterms:W3CDTF">2026-05-18T21:18:49Z</dcterms:created>
  <dcterms:modified xsi:type="dcterms:W3CDTF">2026-07-11T17:05:19Z</dcterms:modified>
</cp:coreProperties>
</file>